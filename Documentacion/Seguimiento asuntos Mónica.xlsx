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128DC893-F134-4327-BA6F-07D212B2DC94}" xr6:coauthVersionLast="47" xr6:coauthVersionMax="47" xr10:uidLastSave="{00000000-0000-0000-0000-000000000000}"/>
  <bookViews>
    <workbookView xWindow="-120" yWindow="-120" windowWidth="29040" windowHeight="15720" xr2:uid="{00000000-000D-0000-FFFF-FFFF00000000}"/>
  </bookViews>
  <sheets>
    <sheet name="ASUNTOS MÓNICA" sheetId="4" r:id="rId1"/>
  </sheets>
  <definedNames>
    <definedName name="_xlnm._FilterDatabase" localSheetId="0" hidden="1">'ASUNTOS MÓNICA'!$A$1:$O$14</definedName>
    <definedName name="FechaDeinici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4" l="1"/>
  <c r="E34" i="4"/>
  <c r="E31" i="4"/>
  <c r="E33" i="4"/>
  <c r="E32" i="4"/>
  <c r="E29" i="4"/>
  <c r="E27" i="4"/>
  <c r="E28" i="4"/>
  <c r="E26" i="4"/>
  <c r="E22" i="4"/>
  <c r="E23" i="4"/>
  <c r="E24" i="4"/>
  <c r="E25" i="4"/>
  <c r="E3" i="4"/>
  <c r="E4" i="4"/>
  <c r="E5" i="4"/>
  <c r="E6" i="4"/>
  <c r="E7" i="4"/>
  <c r="E8" i="4"/>
  <c r="E9" i="4"/>
  <c r="E10" i="4"/>
  <c r="E11" i="4"/>
  <c r="E12" i="4"/>
  <c r="E13" i="4"/>
  <c r="E14" i="4"/>
  <c r="E15" i="4"/>
  <c r="E16" i="4"/>
  <c r="E17" i="4"/>
  <c r="E18" i="4"/>
  <c r="E19" i="4"/>
  <c r="E20" i="4"/>
  <c r="E21" i="4"/>
  <c r="E2" i="4"/>
</calcChain>
</file>

<file path=xl/sharedStrings.xml><?xml version="1.0" encoding="utf-8"?>
<sst xmlns="http://schemas.openxmlformats.org/spreadsheetml/2006/main" count="342" uniqueCount="217">
  <si>
    <t>Núm.</t>
  </si>
  <si>
    <t>Empresa / solicitante</t>
  </si>
  <si>
    <t>Semáforo</t>
  </si>
  <si>
    <t>Fecha</t>
  </si>
  <si>
    <t>Días transcurridos</t>
  </si>
  <si>
    <t>Fecha de reunión</t>
  </si>
  <si>
    <t>Encargado</t>
  </si>
  <si>
    <t>Minuta</t>
  </si>
  <si>
    <t>Ficha Informativa / oficio</t>
  </si>
  <si>
    <t>Estado actual</t>
  </si>
  <si>
    <t>Fecha de conclusión</t>
  </si>
  <si>
    <t>Tipo</t>
  </si>
  <si>
    <t>Descripción general</t>
  </si>
  <si>
    <t>Comentarios</t>
  </si>
  <si>
    <t>Ubicación de carpeta</t>
  </si>
  <si>
    <t>Datos de contacto</t>
  </si>
  <si>
    <t>Fecha de la Reunión</t>
  </si>
  <si>
    <t>Columna1</t>
  </si>
  <si>
    <t>Aljaval</t>
  </si>
  <si>
    <t>Barri</t>
  </si>
  <si>
    <t>Finalizado</t>
  </si>
  <si>
    <t>Cartera</t>
  </si>
  <si>
    <t>Presentación de cartera de proyectos</t>
  </si>
  <si>
    <t>Reunión-Minuta</t>
  </si>
  <si>
    <t>20250616_ALJAVAL</t>
  </si>
  <si>
    <t>Eólica Tres Palmitas</t>
  </si>
  <si>
    <t>Proyecto eólico de 90 MW en Alvarado Veracruz.</t>
  </si>
  <si>
    <t>Tarjeta informativa</t>
  </si>
  <si>
    <t>20250707_TRES PALMITAS_OK</t>
  </si>
  <si>
    <t>EDP</t>
  </si>
  <si>
    <t>20253110_EDP</t>
  </si>
  <si>
    <t>Fisterra</t>
  </si>
  <si>
    <t>20251124_Fisterra</t>
  </si>
  <si>
    <t>Agrorenovables</t>
  </si>
  <si>
    <t>Ara</t>
  </si>
  <si>
    <t>20251031_Agrorenovables</t>
  </si>
  <si>
    <t>Kenerwatts S.A.P.I. de C.V.</t>
  </si>
  <si>
    <t>Convocatoria</t>
  </si>
  <si>
    <t>Solicitó información de otros participantes que tienen el mismo punto de interconexion</t>
  </si>
  <si>
    <t>Correo Electrónico</t>
  </si>
  <si>
    <t>20251208_ Kenerwatts</t>
  </si>
  <si>
    <t xml:space="preserve">Raul Santos Coy     RAUL.SANTOSCOY@BAYWA-RE.COM
</t>
  </si>
  <si>
    <t>Oficio UEL.114.292.2025 / Diputada Alma Marina Vitela Rodríguez/ Polos Bienestar</t>
  </si>
  <si>
    <t>Edgar</t>
  </si>
  <si>
    <t>Consulta Polos</t>
  </si>
  <si>
    <t xml:space="preserve">Solicita audiencia para presentar iniciativas y propuestas. </t>
  </si>
  <si>
    <t>20251125_Diputada Alma Vitela_Polo Laguna</t>
  </si>
  <si>
    <t>GEMEX, Energía Renovable</t>
  </si>
  <si>
    <t>Marian</t>
  </si>
  <si>
    <t xml:space="preserve">Se envía presentación con información relevante sobre algunos proyectos solares destacados: Los Nogales, Guanajuato; Tebal, Tucatán; Piedras Negras, Veracruz; Las Cañas, Veracruz; Salamanca, Guanajuato; San Cayetano, Jalisco; Laguna OM , Quintana Roo; Arco y Donhi, Hidalgo y El Higo, Veracruz. </t>
  </si>
  <si>
    <t>Minuta y correo Electrónico</t>
  </si>
  <si>
    <t>20251015_GEMEX</t>
  </si>
  <si>
    <t xml:space="preserve">Deyanira Terán
Tel. 55 5965 1533
deyanira.teran@gemex.mx
</t>
  </si>
  <si>
    <t>Virtual
9 de enero de 2026 a las 10:00 hrs</t>
  </si>
  <si>
    <t>Paradise Sands S. de R.L. de C.V. y Terra Innovatum</t>
  </si>
  <si>
    <r>
      <rPr>
        <sz val="12"/>
        <color rgb="FF000000"/>
        <rFont val="Noto Sans"/>
      </rPr>
      <t xml:space="preserve">Se convoca a reunión virtual    04/05/26            </t>
    </r>
    <r>
      <rPr>
        <b/>
        <u/>
        <sz val="12"/>
        <color rgb="FF000000"/>
        <rFont val="Noto Sans"/>
      </rPr>
      <t>Se convocó a reunión y no se conectó, se le envió correo el jueves 07 de mayo para preguntar si aún hay interés por parte ellos para continuar, estamos en espera de su respuesta.</t>
    </r>
  </si>
  <si>
    <t>Consulta Tecnología</t>
  </si>
  <si>
    <t xml:space="preserve">Solicita la evaluación del Proyecto Piloto para la instalación y operación de un reactor nuclear micro modular, envía antecedentes sobre oficio enviado a la Presidencia y la respuesta de la CFE, se envía presentacón. </t>
  </si>
  <si>
    <t>PPT    Al enviar el correo de invitación a reunion ellos responden que ingresaron otra solicitud con fecha del 30 de marzo a nombre de RYZON ENERGY para presentar una nueva tecnología de energía renovable y verde libre de huella de carbon, cero emiiones atmosféricas y sin uso de combustible</t>
  </si>
  <si>
    <t>20251030_Paradise</t>
  </si>
  <si>
    <t xml:space="preserve">Ing. Juan Hernández López        juanjahweh2@gmail.com
</t>
  </si>
  <si>
    <t>SPTE</t>
  </si>
  <si>
    <t>NIKO ENERGY</t>
  </si>
  <si>
    <t>Dany</t>
  </si>
  <si>
    <t>Empresa que vende sistemas electricos Solicita audiencia para presentar iniciativas y propuesta de colaboración técnica</t>
  </si>
  <si>
    <t>20251111_Niko</t>
  </si>
  <si>
    <t>Raffaele Sertorio
Tel. 5523344526
Correo: raffaele@niko.mx</t>
  </si>
  <si>
    <t>Virtual
8 de enero de 2026 a las 10:00 hrs</t>
  </si>
  <si>
    <t>DIVERXIA ENERGIAS 2, S. DE R.L. DE C.V.</t>
  </si>
  <si>
    <r>
      <rPr>
        <b/>
        <sz val="12"/>
        <color rgb="FF000000"/>
        <rFont val="Noto Sans"/>
      </rPr>
      <t xml:space="preserve">Propuesta de reunión pero el correo del contacto es incorrecto. </t>
    </r>
    <r>
      <rPr>
        <b/>
        <u/>
        <sz val="12"/>
        <color rgb="FF000000"/>
        <rFont val="Noto Sans"/>
      </rPr>
      <t>Se envía propuesta de reunion vía corrreo postal a la dirección física que se encuentra en el membrete de la empresa</t>
    </r>
  </si>
  <si>
    <t>Solicitan contemplar la integración en los polos de desarrolo, los proyectos  fotovoltaicos LERMA 220 y TOLLOCAN 202en el estado de México y Quintana Roo, respectivamente</t>
  </si>
  <si>
    <t>correo enviado el 19 de enero (jalcantar@gmail.com). Correo incorrecto con intento de envío de invitación   Se propone dar por cumplida esta solicitud de acuerdo al numeral 5 de los Lineamientos Generales Relativos a los Procedimientos a la Atención de Solicitudes de Acceso a la Información, públicado el 28 de abril de 2026.  Por solicitud de la Oficina de la Secretaria se enviará vía correo postal la invitación a una reunión virtual para dentro de 15 dias.</t>
  </si>
  <si>
    <t>20251127_Diverxia</t>
  </si>
  <si>
    <t>Jaime Alcantar Ramírez        jalcantar@gmail.com</t>
  </si>
  <si>
    <t>En el oficio que se enviará via correo postal se propone  viernes 22 de mayo de 2026 a las 11:00 hrs</t>
  </si>
  <si>
    <t>COX ENERGY</t>
  </si>
  <si>
    <r>
      <rPr>
        <b/>
        <sz val="12"/>
        <color rgb="FF000000"/>
        <rFont val="Noto Sans"/>
      </rPr>
      <t xml:space="preserve">Propuesta de reunión faltan datos de contacto.  </t>
    </r>
    <r>
      <rPr>
        <b/>
        <u/>
        <sz val="12"/>
        <color rgb="FF000000"/>
        <rFont val="Noto Sans"/>
      </rPr>
      <t>Se envía propuesta de reunion vía corrreo postal a la dirección física que se encuentra en el membrete de la empres</t>
    </r>
    <r>
      <rPr>
        <b/>
        <sz val="12"/>
        <color rgb="FF000000"/>
        <rFont val="Noto Sans"/>
      </rPr>
      <t>a</t>
    </r>
  </si>
  <si>
    <t xml:space="preserve">Central Eléctrica de Generación Limpia para el fortalecimiento de la infraestructura eléctrica nacional. </t>
  </si>
  <si>
    <t>No se tuvo respuesta considerando a invitación de reunión del 16 de enero (Enrique González Casilla a info@coxenergy.com) Se propone dar por cumplida esta solicitud de acuerdo al numeral 5 de los Lineamientos Generales Relativos a los Procedimientos a la Atención de Solicitudes de Acceso a la Información, públicado el 28 de abril de 2026. Por solicitud de la Oficina de la Secretaria se enviará vía correo postal la invitación a una reunión virtual para dentro de 15 dias.</t>
  </si>
  <si>
    <t>20251128_COX</t>
  </si>
  <si>
    <t>Montes Urales 415, Lomas de Chapultepec II Sección, Alc. Miguel Hidalgo, C.P. 11000, CDMX, México
correo: info@coxenergy.com
tel. 52 55 73 16 3174</t>
  </si>
  <si>
    <t>En el oficio que se enviará via correo postal se propone  viernes 22 de mayo de 2026 a las 12:00 hrs.</t>
  </si>
  <si>
    <t>PARQUE SOLAR KUKUUL S DE R.L. DE C.V.</t>
  </si>
  <si>
    <t>Convocatoria Prioritaria de Planeación Vinculante y Permisos de Generación de Energía Eléctrica (Proyecto Fotovoltaivo PSK) en los municipios de Ticuly Sacalum (Yucatán) este proyecto ofrece 71 MW</t>
  </si>
  <si>
    <t>20251128_PARQUE SOLAR KUKUUL</t>
  </si>
  <si>
    <t xml:space="preserve">Mario Pani Cusi Representante Legal    Mario.Pani@baywa-re.com                              Ángel Urraza 314, Col del Valle Centro, Alcaldía Benito Juárez, C.P. 03100, CDMX     
</t>
  </si>
  <si>
    <t>Virtual
12 de enero de 2026 a las 11:00 hrs</t>
  </si>
  <si>
    <t>Kenergenux</t>
  </si>
  <si>
    <t>Presentar formalmente a Kenergenux y exponer sus actividades, se ponen a disposición para atender cualquier inquietud que pudiera surgir respecto a la posible viabilidad de incorporar estos proyectos dentro del PLADESE y  presentar dos bloques agrupados de proyectos de generación fotovoltaica con almacenamiento que estamos desarrollando: ubicados en el Estado de México (Ajolo Solar y Tepetate Solar) y en Zacatecas (Oro Solar 1 y Oro Solar 2) .</t>
  </si>
  <si>
    <t>20251203_Kenergenux</t>
  </si>
  <si>
    <t xml:space="preserve">
Mariana Chorné
Campos Elíseos 223, piso 5, oficina 501
Polanco IV Sección | CDMX
MV: 5619886236 // Cel: 5518494770
mariana.chorne@genuxpower.com
</t>
  </si>
  <si>
    <t>Virtual
13 de enero de 2026 a las 11:00 hrs</t>
  </si>
  <si>
    <t>Cubico</t>
  </si>
  <si>
    <t>Unidad de Estrategia, Vinculación Interinstitucional y Seguimiento de Proyectos e Inversiones</t>
  </si>
  <si>
    <t xml:space="preserve">Claudia </t>
  </si>
  <si>
    <t>Solicita el aumento de su capacidad instalada a 110 MW (antes 78 MW) Fotovoltáico</t>
  </si>
  <si>
    <t>20251211_cubico</t>
  </si>
  <si>
    <t>Osvaldo Rance Cachafeiro Av. Vasco de quiroga 3900, Torre A, Piso 20 Col. Lomas de Santa Fe 05348, CDMX   osvaldo.rance@cubicoinvest.com</t>
  </si>
  <si>
    <t>Presencial
19 de enero de 2026 a las 11:00 hrs Piso 8 Sala SUM</t>
  </si>
  <si>
    <t>IMPULSORA JALISCIENCE, S.A. DE C.V.</t>
  </si>
  <si>
    <t>Presenta la intención de construir un proyecto de generación de energía eléctrica fotovoltaica con capacidad instalada de hasta 3.5 MW  en Lagos de Moreno Jalisco (Predio llamado Monte Grande)</t>
  </si>
  <si>
    <t>20251212_Impulsora Jaliscience</t>
  </si>
  <si>
    <t>ignaciolopez@enix.com.mx,
gbustamante@enix.com.mx, h.alvarez@akron.com.mx,
de.garcia@akron.com.mx, 
s.jaramillon@akron.com.mx</t>
  </si>
  <si>
    <t>Virtual
16 de enero de 2026 a las 10:00 hrs</t>
  </si>
  <si>
    <t>Comisión Nacional de Energía</t>
  </si>
  <si>
    <t>Consulta PV</t>
  </si>
  <si>
    <t>Consulta respecto a la aplicación de los criterios de planeación vinculante</t>
  </si>
  <si>
    <t>Respuesta a Oficio</t>
  </si>
  <si>
    <t>20251216_Consulta UE CNE_PV hidro CFE</t>
  </si>
  <si>
    <t>LOGISTICA VISTA VERDE S. DE R.L. DE C.V.</t>
  </si>
  <si>
    <t>Reunion con el Dr.</t>
  </si>
  <si>
    <t>Proyectos estratégicos</t>
  </si>
  <si>
    <t>Solicita la canalización del proyecto Gasoducto Vista Verde al Consejo de Planeación Energética, solicitando su reconocimiento como Infraestructura estratégica y se considere en los instrumentos de la Planeación Vinculante</t>
  </si>
  <si>
    <r>
      <rPr>
        <sz val="12"/>
        <color rgb="FF000000"/>
        <rFont val="Noto Sans"/>
      </rPr>
      <t xml:space="preserve">Presentación </t>
    </r>
    <r>
      <rPr>
        <b/>
        <sz val="12"/>
        <color rgb="FF000000"/>
        <rFont val="Noto Sans"/>
      </rPr>
      <t>Baja California</t>
    </r>
  </si>
  <si>
    <t>20251218_LOGISTICA VISTA VERDE</t>
  </si>
  <si>
    <t>Kirk Sherr
Av. Reynosa 65-A 
Zona Centro C.P. 22800
Ensenada Baja California
kirk.sherr@tailgrass.com</t>
  </si>
  <si>
    <t>BHCE Yucatán 1, S.A.P.I. de C.V.</t>
  </si>
  <si>
    <t>Manifiesta interés en participar en la planeación vinculante con un proyecto de generación de tipo eólico  con capacidad instalada de 250 MW, (en Cansahcab, Yuc.)</t>
  </si>
  <si>
    <t>20251218_BHCE Yucatán 1</t>
  </si>
  <si>
    <t>Israel Sades Mizrahi israel.sades@energiacb.com.mx/55303-80097
cynthia.bouchot@energiacb.com.mx, lucero.ortiz@energiacb.com.mx y daniel.segura@energiacb.com.mx</t>
  </si>
  <si>
    <t>Virtual
15 de enero de 2026 a las 11:00 hrs</t>
  </si>
  <si>
    <t>ENGIE MÉXICO, S.A. DE C.V.</t>
  </si>
  <si>
    <t>Interés de desrrollar tres proyectos de distintas fuentes de energía limpias: Ranchitos (eólico) 120 MW (Matamoros, Tamps), Mina Solar (Fotovoltáico) 149 MW (Mina, Nvo. León) y Chignautla (Fotovoltaico) 80 MW (Los Humeros, Pue)</t>
  </si>
  <si>
    <t>20251219_ENGIE</t>
  </si>
  <si>
    <t>Eduardo René Narváez Torres rene.narvaez@engie.com, Alberto Lezama Cortés alberto.lezama@engie.com y Rosa Alejandrina García Macías rosa.garciam@engie.com</t>
  </si>
  <si>
    <t>Virtual
19 de enero de 2026 a las 10:30 hrs</t>
  </si>
  <si>
    <t>DESARROLLO ENERGÉTICO SUSTENTABLE ESTADO DE JALISCO</t>
  </si>
  <si>
    <t>Se entrega para poner a consideración las conslusiones  del estudio Técnico elaborado  por la Secretaria de Desarrollo Energético Sstentable de Jalisco (SEDES)de un ejercicio de la demanda incremental y proyectos de generación alineados a la planeación Vinculante (portafolio de 12 proyectos de centrales fotovoltaicas y un ciclo combinado que suman 2390,5 MW).</t>
  </si>
  <si>
    <t>Reunión con el Dr. Islas y Minuta</t>
  </si>
  <si>
    <t>20251219_DESARROLLO ENERGÉTICO</t>
  </si>
  <si>
    <t>Manuel Jesús Herrera Vega                                  Av. Faro #2350, Col. Verde Valle, Guadalajara, Jalisco C.P. 44550, telefono. 3330302000 ext. 52422 y 52428</t>
  </si>
  <si>
    <t>Presencial con el Dr. Jorge Islas</t>
  </si>
  <si>
    <t>GOBERNADOR CONSTITUCIONAL DEL ESTADO DE JALISCO</t>
  </si>
  <si>
    <t>Se entrega proyectos de generación alineados a la planeación vinculante, se relaciona con el estudio presentado por  la Secrertaria de Desarrollo Energético Sustentable de Jalisco</t>
  </si>
  <si>
    <t>20251224_GOBIERNO DE JALISCO</t>
  </si>
  <si>
    <t>BayWa r.e. Desarrollos Solares</t>
  </si>
  <si>
    <t>Manfiesta interés en árticiár en la Convocatoria de enero 2026 con el proyecto CFV Carbón II y que se incluyan en la planeación Vinculante los siguientes proyectos: Parque Solar Kukuul (Sacalum, Ticul, Yuc.), Ocote Solar, (Singuilucan-Epazoyucan, Hgo.),  Chachalacas Solar (Manlio Fabio Altamirano, Ver.), Pecari Solar (Linares, Nvo.León), Parque Solar Los Potros (Ojuelos, Jal.)</t>
  </si>
  <si>
    <t>20251229_BayWa</t>
  </si>
  <si>
    <t>Virtual
20 de enero de 2026 a las 11:00 hrs</t>
  </si>
  <si>
    <t>Versalles de las Cuatas "Portafolio Durango"</t>
  </si>
  <si>
    <t>Evaluación del portafolio Durango, que se compone de 6 centrales fotovoltaicas</t>
  </si>
  <si>
    <t>20260108_Durango</t>
  </si>
  <si>
    <t>Luis Arias Osoyo        luis.arias@aindaei.com     Montes Urales 770, 1er. piso, Col. Lomas de Chapultepec, Miguel Hidalgo C.P. 11000</t>
  </si>
  <si>
    <t>Virtual
21 de enero de 2026 a las 10:30 hrs</t>
  </si>
  <si>
    <t>Solicita audiencia del 03 al 06 de febrero de 2026 con el fin de dar continuidad la estructuración de potenciales proyectos de Inversión Mixta</t>
  </si>
  <si>
    <t>Se desahoga con la minuta de la reunion del 19 de enero</t>
  </si>
  <si>
    <t>Internovum/ Bluemex</t>
  </si>
  <si>
    <t>Solicitud de reunión respecto al proyecto FV Santa Fe</t>
  </si>
  <si>
    <t>0260121_Internovum</t>
  </si>
  <si>
    <t>Alejandro Hinojos                 ah@internovum-solar.com</t>
  </si>
  <si>
    <t>Virtual
30 de enero de 2026 a las 15:00 hrs</t>
  </si>
  <si>
    <t>Alion</t>
  </si>
  <si>
    <t>Solicita una reunion para recibir orientación técnica y regulatoria, buscan dar a conocer un proyecto que estan desarrollando de tipo eólico o fotovoltaico en predios (de caracter familiar) ubicados en el estado de Coahuila.</t>
  </si>
  <si>
    <t>20260129_ALION</t>
  </si>
  <si>
    <t>Gustavo García Romero         gustavo.garcia@alionbs.com                               Manuel Pérez Treviño #390, Saltillo, Coah., Méx.</t>
  </si>
  <si>
    <t>Virtual
2 de marzo de 2026 a las 10:00 hrs</t>
  </si>
  <si>
    <t>GTE Energy</t>
  </si>
  <si>
    <t>rechazaron reunión y pidieron reagendar en otra fecha ya que estaban a la espera de una reunion . Llego otra solicitud de ellos, est registrada en el consecutivo 36</t>
  </si>
  <si>
    <t>Solicitud de reunión para dar a conocer algunos proyectoscon inversión extranjera y privada en ganeración eléctrica fotovoltaica</t>
  </si>
  <si>
    <t>20260213_ GTE Energy Mexico</t>
  </si>
  <si>
    <t>Mario S. Urbino 
Director General de GTE Energy México
+1 858 692 9835
urbino9@gmail.com</t>
  </si>
  <si>
    <t>Virtual</t>
  </si>
  <si>
    <t>Oficina de la Secretaria</t>
  </si>
  <si>
    <t>Se elaboró una Nota Informativa y minuta de la reunión celebrada el 24 de febrero de 2026.</t>
  </si>
  <si>
    <t>Presentan un Anexo Técnico de la condición estructural del sistema de Gas Natural en Baja California y solicitan que se incorpore como insumo para la planeación energética vinculante</t>
  </si>
  <si>
    <t xml:space="preserve">En espera de instruciones / se elaboró nota Se plantea como alternativa al configurar un corredor alterno independiente con acceso a
cuencas productoras y capacidad para servicios firmes, modificando la topología del sistema y
reduciendo el riesgo derivado de una única vía de suministro.
- No se advierte formalización en el desarrollo del proyecto.
- Con base en la información proporcionada el proyecto se encuentra fase conceptual y de diseño,
señalando que su formalización se llevará a cabo hasta contar con el permiso de transporte.
- Previo a remitir al Consejo de Planeación se sugiere solicitar una opinión por parte de la
Subsecretaría de Hidrocarburos y de la Comisión Nacional de Control de Gas Natural, así como
identificar la información adicional necesaria para requerir a Vista Verde. </t>
  </si>
  <si>
    <t>20260224_Logistica Vista Verde</t>
  </si>
  <si>
    <t>Reuniones de seguimiento</t>
  </si>
  <si>
    <t>ZUMA ENERGY</t>
  </si>
  <si>
    <t>Se envía correo a Monica con calendario de fechas</t>
  </si>
  <si>
    <t>Esquemas Mixtos</t>
  </si>
  <si>
    <t>Solictan 8 semanas para incorporar la información solicitada por la VUPE</t>
  </si>
  <si>
    <r>
      <rPr>
        <sz val="12"/>
        <color rgb="FF000000"/>
        <rFont val="Noto Sans"/>
      </rPr>
      <t xml:space="preserve">Se tiene conocimiento que ingresaron proyectos en la VUPE, por lo que se sugiere atender con un correo a Mónica señalando dicho acto. </t>
    </r>
    <r>
      <rPr>
        <b/>
        <sz val="12"/>
        <color rgb="FF000000"/>
        <rFont val="Noto Sans"/>
      </rPr>
      <t>El 27 de marzo ingresaron un escrito alcance</t>
    </r>
  </si>
  <si>
    <t>0260227_ZUMA ENERGIA</t>
  </si>
  <si>
    <t>Armando Peñuelas          apeñuelas@zumaenergia.com              5541945070</t>
  </si>
  <si>
    <t>calendario de actividades</t>
  </si>
  <si>
    <t>EL GRITON SOLAR, S.A. DE C.V</t>
  </si>
  <si>
    <t>Reunión celebrada, se envia correo a Monica con Minuta de reunión</t>
  </si>
  <si>
    <t>Solicitan considerar e integrar el  proyecto "La Granja Solar" (365.995 MW) de generación de energía limpia, en el PLATEASE a fin de que pueda ser evaluado como infraestructura  estratégica ubicado en la region occidente (Zacatecas)</t>
  </si>
  <si>
    <t>Se propone reunion, solicitar mas detelles del proyecto y con lo que contesten turnar a CENACE, para el análisis correspondiente y con dicho correo reenviar a Mónica para su desahogo</t>
  </si>
  <si>
    <t>04032026_GRITON SOLAR</t>
  </si>
  <si>
    <t xml:space="preserve">Víctor Durango Domínguez
Av. Marina Nacional #60
Piso 6, Col. Tacuba
Alcaldía Miguel Hidalgo
C.P. 11410
vdurango@naturgy.com
</t>
  </si>
  <si>
    <t>Virtual
28 de abril de 2026 a las 10:30 hrs</t>
  </si>
  <si>
    <t>UNIÓN FENOSA MÉXICO, S.A. DE C.V.</t>
  </si>
  <si>
    <t>Reunion celebrada, se envía correo a Monica con Minuta de reunión</t>
  </si>
  <si>
    <t>Solicitan considerar e integrar el  proyecto "Parque Solar Quetzal" (160 MW) de generación de energía limpia, en el PLATEASE a fin de que pueda ser evaluado como infraestructura  estratégica; ubicado en la region noroccidente (Durango)</t>
  </si>
  <si>
    <t>04032026_UNION FENOSA MEXICO</t>
  </si>
  <si>
    <t>Virtual
28 de abril de 2026 a las 11:00 hrs</t>
  </si>
  <si>
    <t>GRUPO ESENTIA</t>
  </si>
  <si>
    <t>Se realiza nota informativa de la solicitud</t>
  </si>
  <si>
    <t>Solicitan la confirmación de criterio resopecto a que su proyecto esté en posibilidad de ser considerado ante SENER como proyecto estratégico con el caracter de "Planeación Vinculante" del sector energético nacional.</t>
  </si>
  <si>
    <t>El proyecto consiste en la expansión para incrementar la capacidad de transporte de GN por medio de ductos y la optimización de infraestructura desde la región norte, hacia centro y occ del país, mediante reforzamiento de sus sistemas de transporte. Actualmente suministran GN a CFE coincidiendo con el CCC GDL de 500 MW</t>
  </si>
  <si>
    <t>20260312_ESENTIA</t>
  </si>
  <si>
    <t xml:space="preserve">Mildred Fernanda Benítez Moreno
Boulevard Adolfo Ruíz Cortinez #3433
Col. San Jerónimo Lídice
Magdalena Contreras 
C.P. 10200
55 76681887
regulatorio-mfbm@esentia-energy.com
</t>
  </si>
  <si>
    <t>CIP</t>
  </si>
  <si>
    <t xml:space="preserve">Se envía por correo a Monica minuta de reunión </t>
  </si>
  <si>
    <t xml:space="preserve">Consulta </t>
  </si>
  <si>
    <t>Consulta respecto a la acreditación de Potencia como Unidad de Central Eléctrica Firme del SAE asociado a las Centrales Eléctricas La Esperanza Solar y Alegría Solar</t>
  </si>
  <si>
    <t>20260313_CIP</t>
  </si>
  <si>
    <t xml:space="preserve">Horacio María de Uriarte Flores
hdeuriarte@macf.com.mx
</t>
  </si>
  <si>
    <t>Presencial
31 de marzo de 2026 a las 11:00 hrs</t>
  </si>
  <si>
    <t>INEEL/FONADIN</t>
  </si>
  <si>
    <t>En revisión para atencion  de la Dirección General de Desarrollo Tecnológico y acceso a la Energía</t>
  </si>
  <si>
    <t>Programa de instalación de paneles solares</t>
  </si>
  <si>
    <t xml:space="preserve">Programa para la instalación de  Paneles Solares en entidades del sector público </t>
  </si>
  <si>
    <t>Solicita apoyo para manifestar que el programa es consistente con los programas y metas sectoriales y que se cumple con las disposiciones aplicables.</t>
  </si>
  <si>
    <t>20260318_INEEL-FONADIN PANELES SOLARES</t>
  </si>
  <si>
    <t>Victor Alejandro Salcido</t>
  </si>
  <si>
    <t>Subsecretaría de Electricidad / CENACE</t>
  </si>
  <si>
    <t>De conocimiento</t>
  </si>
  <si>
    <t>Comentarios propuesta PAM RNT RGD 2026-2040</t>
  </si>
  <si>
    <t>Energía Solar Herrera</t>
  </si>
  <si>
    <r>
      <rPr>
        <sz val="12"/>
        <color rgb="FF000000"/>
        <rFont val="Noto Sans"/>
      </rPr>
      <t xml:space="preserve">Solicita el reconocimiento del proyecto "Energía Solar Herrera" como parte de un grupo de Interés económico  de capital Mexicano </t>
    </r>
    <r>
      <rPr>
        <b/>
        <sz val="12"/>
        <color rgb="FF000000"/>
        <rFont val="Noto Sans"/>
      </rPr>
      <t>ENNOVA AMERICA, S.A.P.I. DE C.V.</t>
    </r>
  </si>
  <si>
    <t>El proyecto "Energía Solar Herrera" cuenta con el respaldo principal de ENNOVA AMÉRICA, S.A.P.I. DE C.V. Empresa mexicana dirigida por Lic. Eduardo Vaudrecourt Salcido, en su carácter de socio mayoritario  asumió el liderazgo institucional, financiero y estratégico del proyecto, asi como la responsabilidad sobre su estructuración continuidad y futura operación.</t>
  </si>
  <si>
    <t>2026_Energía Solar Herrera</t>
  </si>
  <si>
    <t xml:space="preserve">María Dolores Temoltzin Bustillos                    Representante Legal                                      Energía Solar Herrera       dolores@libienergy.com.mx </t>
  </si>
  <si>
    <t xml:space="preserve">Mario S. Urbino 
Director General de GTE Energy México
+1 858 692 9835
urbino9@gmail.com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</si>
</sst>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tint="0.24994659260841701"/>
      <name val="Calibri"/>
      <family val="2"/>
      <scheme val="minor"/>
    </font>
    <font>
      <u/>
      <sz val="11"/>
      <color theme="10"/>
      <name val="Calibri"/>
      <family val="2"/>
      <scheme val="minor"/>
    </font>
    <font>
      <b/>
      <sz val="12"/>
      <color theme="0"/>
      <name val="Noto Sans"/>
    </font>
    <font>
      <sz val="12"/>
      <name val="Noto Sans"/>
    </font>
    <font>
      <u/>
      <sz val="12"/>
      <color theme="10"/>
      <name val="Noto Sans"/>
    </font>
    <font>
      <sz val="12"/>
      <color rgb="FF000000"/>
      <name val="Noto Sans"/>
    </font>
    <font>
      <b/>
      <sz val="12"/>
      <name val="Arial"/>
    </font>
    <font>
      <b/>
      <sz val="12"/>
      <color rgb="FF000000"/>
      <name val="Noto Sans"/>
    </font>
    <font>
      <b/>
      <sz val="10"/>
      <color theme="0"/>
      <name val="Noto Sans"/>
      <family val="2"/>
    </font>
    <font>
      <b/>
      <sz val="12"/>
      <color theme="0"/>
      <name val="Noto Sans"/>
      <family val="2"/>
    </font>
    <font>
      <sz val="12"/>
      <name val="Noto Sans"/>
      <family val="2"/>
    </font>
    <font>
      <sz val="11"/>
      <color theme="1"/>
      <name val="Calibri"/>
      <family val="2"/>
      <charset val="1"/>
    </font>
    <font>
      <sz val="12"/>
      <name val="Arial"/>
    </font>
    <font>
      <b/>
      <sz val="12"/>
      <name val="Noto Sans"/>
    </font>
    <font>
      <b/>
      <u/>
      <sz val="12"/>
      <color rgb="FF000000"/>
      <name val="Noto Sans"/>
    </font>
  </fonts>
  <fills count="7">
    <fill>
      <patternFill patternType="none"/>
    </fill>
    <fill>
      <patternFill patternType="gray125"/>
    </fill>
    <fill>
      <patternFill patternType="solid">
        <fgColor rgb="FF9C2348"/>
        <bgColor indexed="64"/>
      </patternFill>
    </fill>
    <fill>
      <patternFill patternType="solid">
        <fgColor rgb="FF047817"/>
        <bgColor indexed="64"/>
      </patternFill>
    </fill>
    <fill>
      <patternFill patternType="solid">
        <fgColor rgb="FFFFFF00"/>
        <bgColor indexed="64"/>
      </patternFill>
    </fill>
    <fill>
      <patternFill patternType="solid">
        <fgColor theme="5" tint="0.79998168889431442"/>
        <bgColor theme="5" tint="0.79998168889431442"/>
      </patternFill>
    </fill>
    <fill>
      <patternFill patternType="solid">
        <fgColor theme="1" tint="0.89999084444715716"/>
        <bgColor indexed="64"/>
      </patternFill>
    </fill>
  </fills>
  <borders count="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5"/>
      </bottom>
      <diagonal/>
    </border>
    <border>
      <left style="thin">
        <color theme="0" tint="-0.34998626667073579"/>
      </left>
      <right style="thin">
        <color theme="0" tint="-0.34998626667073579"/>
      </right>
      <top/>
      <bottom/>
      <diagonal/>
    </border>
  </borders>
  <cellStyleXfs count="3">
    <xf numFmtId="0" fontId="0" fillId="0" borderId="0"/>
    <xf numFmtId="0" fontId="1" fillId="0" borderId="0"/>
    <xf numFmtId="0" fontId="2" fillId="0" borderId="0" applyNumberFormat="0" applyFill="0" applyBorder="0" applyAlignment="0" applyProtection="0"/>
  </cellStyleXfs>
  <cellXfs count="54">
    <xf numFmtId="0" fontId="0" fillId="0" borderId="0" xfId="0"/>
    <xf numFmtId="0" fontId="3" fillId="2" borderId="1" xfId="0" applyFont="1" applyFill="1" applyBorder="1" applyAlignment="1">
      <alignment horizontal="left" vertical="center" inden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indent="1"/>
    </xf>
    <xf numFmtId="0" fontId="3" fillId="2" borderId="1" xfId="0" applyFont="1" applyFill="1" applyBorder="1" applyAlignment="1">
      <alignment horizontal="center" vertical="center" wrapText="1" indent="2"/>
    </xf>
    <xf numFmtId="0" fontId="3" fillId="2" borderId="1" xfId="0" applyFont="1" applyFill="1" applyBorder="1" applyAlignment="1">
      <alignment horizontal="center" vertical="center" wrapText="1" indent="1"/>
    </xf>
    <xf numFmtId="0" fontId="3" fillId="2" borderId="1" xfId="0" applyFont="1" applyFill="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3" borderId="1" xfId="0" applyFont="1" applyFill="1" applyBorder="1" applyAlignment="1">
      <alignment vertical="center" wrapText="1"/>
    </xf>
    <xf numFmtId="0" fontId="5" fillId="0" borderId="1" xfId="2" applyFont="1" applyFill="1" applyBorder="1" applyAlignment="1">
      <alignment vertical="center"/>
    </xf>
    <xf numFmtId="0" fontId="6" fillId="0" borderId="1" xfId="2" applyFont="1" applyFill="1" applyBorder="1" applyAlignment="1">
      <alignment horizontal="center" vertical="center" wrapText="1"/>
    </xf>
    <xf numFmtId="0" fontId="7" fillId="0" borderId="1" xfId="0" applyFont="1" applyBorder="1" applyAlignment="1">
      <alignment horizontal="center" vertical="center"/>
    </xf>
    <xf numFmtId="0" fontId="0" fillId="0" borderId="1" xfId="0" applyBorder="1" applyAlignment="1">
      <alignment indent="1"/>
    </xf>
    <xf numFmtId="0" fontId="0" fillId="0" borderId="1" xfId="0" applyBorder="1" applyAlignment="1">
      <alignment vertical="center"/>
    </xf>
    <xf numFmtId="14" fontId="4" fillId="0" borderId="1" xfId="0" applyNumberFormat="1" applyFont="1" applyBorder="1" applyAlignment="1">
      <alignment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xf>
    <xf numFmtId="14" fontId="4" fillId="0" borderId="1" xfId="0" applyNumberFormat="1" applyFont="1" applyBorder="1" applyAlignment="1">
      <alignment horizontal="center" vertical="center" indent="1"/>
    </xf>
    <xf numFmtId="0" fontId="0" fillId="0" borderId="1" xfId="0" applyBorder="1" applyAlignment="1">
      <alignment horizontal="center" indent="1"/>
    </xf>
    <xf numFmtId="14" fontId="4" fillId="0" borderId="1"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2" xfId="0" applyFont="1" applyBorder="1" applyAlignment="1">
      <alignment horizontal="center" vertical="center" wrapText="1"/>
    </xf>
    <xf numFmtId="14" fontId="4" fillId="0" borderId="2"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0" fillId="3" borderId="2" xfId="0" applyFill="1" applyBorder="1"/>
    <xf numFmtId="0" fontId="0" fillId="3" borderId="1" xfId="0" applyFill="1" applyBorder="1"/>
    <xf numFmtId="0" fontId="4" fillId="0" borderId="3" xfId="0" applyFont="1" applyBorder="1" applyAlignment="1">
      <alignment horizontal="center" vertical="center" wrapText="1"/>
    </xf>
    <xf numFmtId="0" fontId="0" fillId="4" borderId="1" xfId="0" applyFill="1" applyBorder="1"/>
    <xf numFmtId="0" fontId="4" fillId="0" borderId="1" xfId="0" applyFont="1" applyBorder="1" applyAlignment="1">
      <alignment vertical="center"/>
    </xf>
    <xf numFmtId="0" fontId="4" fillId="5" borderId="1" xfId="0" applyFont="1" applyFill="1" applyBorder="1" applyAlignment="1">
      <alignment horizontal="center" vertical="center" wrapText="1"/>
    </xf>
    <xf numFmtId="0" fontId="4" fillId="0" borderId="4" xfId="0" applyFont="1" applyBorder="1" applyAlignment="1">
      <alignment horizontal="center" vertical="center" wrapText="1"/>
    </xf>
    <xf numFmtId="0" fontId="9" fillId="2" borderId="1" xfId="0" applyFont="1" applyFill="1" applyBorder="1" applyAlignment="1">
      <alignment horizontal="center" vertical="center" wrapText="1" indent="2"/>
    </xf>
    <xf numFmtId="0" fontId="10" fillId="2" borderId="1" xfId="0" applyFont="1" applyFill="1" applyBorder="1" applyAlignment="1">
      <alignment horizontal="center" vertical="center"/>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4" fillId="4" borderId="1" xfId="0" applyFont="1" applyFill="1" applyBorder="1" applyAlignment="1">
      <alignment vertical="center" wrapText="1"/>
    </xf>
    <xf numFmtId="1" fontId="4" fillId="0" borderId="1" xfId="0" applyNumberFormat="1" applyFont="1" applyBorder="1" applyAlignment="1">
      <alignment horizontal="center" vertical="center" wrapText="1"/>
    </xf>
    <xf numFmtId="0" fontId="4" fillId="5" borderId="1" xfId="0" applyFont="1" applyFill="1" applyBorder="1" applyAlignment="1">
      <alignment vertical="center" wrapText="1"/>
    </xf>
    <xf numFmtId="0" fontId="12" fillId="0" borderId="0" xfId="0" applyFont="1"/>
    <xf numFmtId="0" fontId="13" fillId="0" borderId="1" xfId="0" applyFont="1" applyBorder="1" applyAlignment="1">
      <alignment horizontal="center" vertical="top" wrapText="1"/>
    </xf>
    <xf numFmtId="0" fontId="3" fillId="2" borderId="5" xfId="0" applyFont="1" applyFill="1" applyBorder="1" applyAlignment="1">
      <alignment horizontal="center" vertical="center" wrapText="1"/>
    </xf>
    <xf numFmtId="0" fontId="4" fillId="6" borderId="1" xfId="0" applyFont="1" applyFill="1" applyBorder="1" applyAlignment="1">
      <alignment vertical="center" wrapText="1"/>
    </xf>
    <xf numFmtId="14" fontId="4" fillId="0" borderId="3" xfId="0" applyNumberFormat="1" applyFont="1" applyBorder="1" applyAlignment="1">
      <alignment vertical="center" wrapText="1"/>
    </xf>
    <xf numFmtId="0" fontId="14" fillId="6" borderId="1" xfId="0" applyFont="1" applyFill="1" applyBorder="1" applyAlignment="1">
      <alignment vertical="center" wrapText="1"/>
    </xf>
    <xf numFmtId="0" fontId="6" fillId="0" borderId="1" xfId="0" applyFont="1" applyBorder="1" applyAlignment="1">
      <alignment vertical="center" wrapText="1"/>
    </xf>
    <xf numFmtId="0" fontId="2" fillId="0" borderId="1" xfId="2" applyFill="1" applyBorder="1" applyAlignment="1">
      <alignment vertical="center" wrapText="1"/>
    </xf>
    <xf numFmtId="0" fontId="8" fillId="0" borderId="1" xfId="0" applyFont="1" applyBorder="1" applyAlignment="1">
      <alignment horizontal="center" vertical="center" wrapText="1"/>
    </xf>
    <xf numFmtId="0" fontId="0" fillId="0" borderId="0" xfId="0" applyAlignment="1">
      <alignment horizontal="center" vertical="center" wrapText="1"/>
    </xf>
    <xf numFmtId="0" fontId="4" fillId="0" borderId="1" xfId="0" applyFont="1" applyBorder="1" applyAlignment="1">
      <alignment vertical="top" wrapText="1"/>
    </xf>
    <xf numFmtId="0" fontId="5" fillId="0" borderId="1" xfId="2" applyFont="1" applyFill="1"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top" wrapText="1"/>
    </xf>
  </cellXfs>
  <cellStyles count="3">
    <cellStyle name="Hyperlink" xfId="2" xr:uid="{00000000-000B-0000-0000-000008000000}"/>
    <cellStyle name="Normal" xfId="0" builtinId="0"/>
    <cellStyle name="Normal 2" xfId="1" xr:uid="{2D0E0B26-7426-41C4-9480-B7E76407F566}"/>
  </cellStyles>
  <dxfs count="18">
    <dxf>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2"/>
        <color auto="1"/>
        <name val="Noto Sans"/>
        <scheme val="none"/>
      </font>
      <fill>
        <patternFill patternType="none"/>
      </fill>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auto="1"/>
        <name val="Noto Sans"/>
        <scheme val="none"/>
      </font>
      <fill>
        <patternFill patternType="none"/>
      </fill>
      <alignment horizontal="general"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none"/>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i val="0"/>
        <strike val="0"/>
        <condense val="0"/>
        <extend val="0"/>
        <outline val="0"/>
        <shadow val="0"/>
        <u val="none"/>
        <vertAlign val="baseline"/>
        <sz val="12"/>
        <color auto="1"/>
        <name val="Arial"/>
        <scheme val="none"/>
      </font>
      <fill>
        <patternFill patternType="none"/>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auto="1"/>
        <name val="Noto Sans"/>
        <scheme val="none"/>
      </font>
      <fill>
        <patternFill patternType="none"/>
      </fill>
      <alignment horizontal="general"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auto="1"/>
        <name val="Noto Sans"/>
        <scheme val="none"/>
      </font>
      <fill>
        <patternFill patternType="none"/>
      </fill>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auto="1"/>
        <name val="Noto Sans"/>
        <scheme val="none"/>
      </font>
      <fill>
        <patternFill patternType="none"/>
      </fill>
      <alignment horizontal="general"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auto="1"/>
        <name val="Noto Sans"/>
        <scheme val="none"/>
      </font>
      <fill>
        <patternFill patternType="none"/>
      </fill>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auto="1"/>
        <name val="Noto Sans"/>
        <scheme val="none"/>
      </font>
      <fill>
        <patternFill patternType="none"/>
      </fill>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auto="1"/>
        <name val="Noto Sans"/>
        <scheme val="none"/>
      </font>
      <fill>
        <patternFill patternType="none"/>
      </fill>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auto="1"/>
        <name val="Noto Sans"/>
        <scheme val="none"/>
      </font>
      <fill>
        <patternFill patternType="none"/>
      </fill>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auto="1"/>
        <name val="Noto Sans"/>
        <scheme val="none"/>
      </font>
      <fill>
        <patternFill patternType="none"/>
      </fill>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none"/>
      </fill>
      <border outline="0">
        <left style="thin">
          <color theme="0" tint="-0.34998626667073579"/>
        </left>
        <right style="thin">
          <color theme="0" tint="-0.34998626667073579"/>
        </right>
        <top style="thin">
          <color theme="0" tint="-0.34998626667073579"/>
        </top>
        <bottom style="thin">
          <color theme="0" tint="-0.34998626667073579"/>
        </bottom>
      </border>
    </dxf>
    <dxf>
      <numFmt numFmtId="19" formatCode="dd/mm/yyyy"/>
      <fill>
        <patternFill patternType="none"/>
      </fill>
      <alignment horizontal="center" textRotation="0" indent="0" justifyLastLine="0" shrinkToFit="0" readingOrder="0"/>
      <border outline="0">
        <left style="thin">
          <color theme="0" tint="-0.34998626667073579"/>
        </left>
        <right style="thin">
          <color theme="0" tint="-0.34998626667073579"/>
        </right>
        <top style="thin">
          <color theme="0" tint="-0.34998626667073579"/>
        </top>
        <bottom style="thin">
          <color theme="0" tint="-0.34998626667073579"/>
        </bottom>
      </border>
    </dxf>
    <dxf>
      <border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2"/>
        <color auto="1"/>
        <name val="Noto Sans"/>
        <scheme val="none"/>
      </font>
      <fill>
        <patternFill patternType="none"/>
      </fill>
      <alignment horizontal="general"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i val="0"/>
        <strike val="0"/>
        <condense val="0"/>
        <extend val="0"/>
        <outline val="0"/>
        <shadow val="0"/>
        <u val="none"/>
        <vertAlign val="baseline"/>
        <sz val="12"/>
        <color theme="0"/>
        <name val="Noto Sans"/>
        <scheme val="none"/>
      </font>
      <fill>
        <patternFill patternType="solid">
          <fgColor indexed="64"/>
          <bgColor rgb="FF9C2348"/>
        </patternFill>
      </fill>
      <alignment horizontal="center" vertical="center" textRotation="0" wrapText="1" indent="0" justifyLastLine="0" shrinkToFit="0" readingOrder="0"/>
      <border>
        <left style="thin">
          <color theme="0" tint="-0.34998626667073579"/>
        </left>
        <right style="thin">
          <color theme="0" tint="-0.34998626667073579"/>
        </right>
        <top/>
        <bottom/>
        <vertical style="thin">
          <color theme="0" tint="-0.34998626667073579"/>
        </vertical>
        <horizontal style="thin">
          <color theme="0" tint="-0.34998626667073579"/>
        </horizontal>
      </border>
    </dxf>
  </dxfs>
  <tableStyles count="0" defaultTableStyle="TableStyleMedium2" defaultPivotStyle="PivotStyleLight16"/>
  <colors>
    <mruColors>
      <color rgb="FF047817"/>
      <color rgb="FFFF0808"/>
      <color rgb="FFFF6208"/>
      <color rgb="FFDEC1CA"/>
      <color rgb="FF9C2348"/>
      <color rgb="FF66FF66"/>
      <color rgb="FF621333"/>
      <color rgb="FFA57F2C"/>
      <color rgb="FF1E5B4F"/>
      <color rgb="FFE6D1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1B78AD-0E68-4667-8D2C-7D57699C84C4}" name="Tabla1" displayName="Tabla1" ref="B1:R39" totalsRowShown="0" headerRowDxfId="17">
  <autoFilter ref="B1:R39" xr:uid="{091B78AD-0E68-4667-8D2C-7D57699C84C4}"/>
  <tableColumns count="17">
    <tableColumn id="2" xr3:uid="{E2EF015E-CE68-47D9-8433-5B0007C02BB7}" name="Empresa / solicitante" dataDxfId="16"/>
    <tableColumn id="3" xr3:uid="{AC060F33-D01A-491C-A101-7DA63ABE7A36}" name="Semáforo" dataDxfId="15"/>
    <tableColumn id="4" xr3:uid="{B4575B36-566A-4C64-970D-01090A2D85A4}" name="Fecha" dataDxfId="14"/>
    <tableColumn id="5" xr3:uid="{69D05C5A-361A-4F6E-BEFE-CA95498FEFBC}" name="Días transcurridos" dataDxfId="13">
      <calculatedColumnFormula>(TODAY()-D2)</calculatedColumnFormula>
    </tableColumn>
    <tableColumn id="6" xr3:uid="{5043403E-95D5-48F5-BA76-EA17446C7D22}" name="Fecha de reunión" dataDxfId="12"/>
    <tableColumn id="7" xr3:uid="{41987643-42C0-4AC2-A373-AF019A34DC5F}" name="Encargado" dataDxfId="11"/>
    <tableColumn id="8" xr3:uid="{75D37FB0-AA58-49AD-8585-42C40FCCD97B}" name="Minuta" dataDxfId="10"/>
    <tableColumn id="9" xr3:uid="{0CD356D8-09EA-4A22-AF35-7BCF4A76363F}" name="Ficha Informativa / oficio" dataDxfId="9"/>
    <tableColumn id="10" xr3:uid="{8F3BF1BB-F34E-4D6A-B636-E93744445943}" name="Estado actual" dataDxfId="8"/>
    <tableColumn id="11" xr3:uid="{B4EFC2ED-D4B1-40AA-9205-9069A11CCEE7}" name="Fecha de conclusión" dataDxfId="7"/>
    <tableColumn id="12" xr3:uid="{9A155A2C-D2A7-48CA-B7DD-2C95510EAA55}" name="Tipo" dataDxfId="6"/>
    <tableColumn id="13" xr3:uid="{1D03582B-4D23-4FA7-AA2F-425E7096339C}" name="Descripción general" dataDxfId="5"/>
    <tableColumn id="14" xr3:uid="{4190A224-9D86-4FEB-8A54-77F383609247}" name="Comentarios" dataDxfId="4"/>
    <tableColumn id="15" xr3:uid="{80564452-6000-4F84-A27E-126419F13165}" name="Ubicación de carpeta" dataDxfId="3"/>
    <tableColumn id="16" xr3:uid="{E6E8717F-C96D-4F3F-B00F-61B1800D1068}" name="Datos de contacto" dataDxfId="2"/>
    <tableColumn id="17" xr3:uid="{EE6C945C-B2FD-4444-BAC2-B88DC113C98B}" name="Fecha de la Reunión" dataDxfId="1"/>
    <tableColumn id="1" xr3:uid="{460C886D-94CC-48C6-A47E-C22AC0F100F0}" name="Columna1" dataDxfId="0"/>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Personalizado 1">
      <a:dk1>
        <a:srgbClr val="002F2A"/>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enermx.sharepoint.com/:f:/s/DGMESNIE/IgCX2DxbxVjzQpNfNe2hL04JAZIHQHWhWdBv9ufiYvFpbhM?e=SeLvra" TargetMode="External"/><Relationship Id="rId18" Type="http://schemas.openxmlformats.org/officeDocument/2006/relationships/hyperlink" Target="mailto:rene.narvaez@engie.com,%20alberto.lezama@engie.com%20y%20rosa.garciam@engie.com" TargetMode="External"/><Relationship Id="rId26" Type="http://schemas.openxmlformats.org/officeDocument/2006/relationships/hyperlink" Target="https://senermx.sharepoint.com/:b:/s/DGMESNIE/IQC8ygvhm1rqQ7ONu15gWK3UAXvSCqj7td61YV55NplSEnE?e=TZcJle" TargetMode="External"/><Relationship Id="rId3" Type="http://schemas.openxmlformats.org/officeDocument/2006/relationships/hyperlink" Target="https://senermx.sharepoint.com/:f:/s/DGMESNIE/EtMMh1gVzXBFkr6ZyKsbG2QB3sdCKZ4dbDsVxcOHaMurpQ?e=Tv2T02" TargetMode="External"/><Relationship Id="rId21" Type="http://schemas.openxmlformats.org/officeDocument/2006/relationships/hyperlink" Target="https://senermx.sharepoint.com/:f:/s/DGMESNIE/IgCW2vhozZaIQ64AqcikMv-AAXEpL9qJlZLBzzC2eu5gQQU?e=VizoKH" TargetMode="External"/><Relationship Id="rId34" Type="http://schemas.openxmlformats.org/officeDocument/2006/relationships/hyperlink" Target="https://senermx.sharepoint.com/:f:/r/sites/DGMESNIE/Documentos%20compartidos/6.%20Consultas%20informes%20estudios/6.15%20Asuntos%20M%C3%B3nica/20260506_Energ%C3%ADa%20Solar%20Herrera?csf=1&amp;web=1&amp;e=xAQDRy" TargetMode="External"/><Relationship Id="rId7" Type="http://schemas.openxmlformats.org/officeDocument/2006/relationships/hyperlink" Target="https://senermx.sharepoint.com/:f:/s/DGMESNIE/ErS9z0Ae_QRNpY7wqiivbaMBBShplA0iTsNXk6emQA8FrA?e=5WQQ8A" TargetMode="External"/><Relationship Id="rId12" Type="http://schemas.openxmlformats.org/officeDocument/2006/relationships/hyperlink" Target="https://senermx.sharepoint.com/:f:/s/DGMESNIE/IgCD4Zxey9dVRagTVfIP3qzRAbQW6od2IX_TtiptED3wpcI?e=IilQSS" TargetMode="External"/><Relationship Id="rId17" Type="http://schemas.openxmlformats.org/officeDocument/2006/relationships/hyperlink" Target="https://senermx.sharepoint.com/:f:/s/DGMESNIE/IgB9_1sjpwarRLpqXGiFe771AZJyQbFKnwjVQIKEDaheUQY?e=SeQJp9" TargetMode="External"/><Relationship Id="rId25" Type="http://schemas.openxmlformats.org/officeDocument/2006/relationships/hyperlink" Target="https://senermx.sharepoint.com/:f:/s/DGMESNIE/IgBRiicIEJ8SSKHjySOcuZ0SAQG3WNfW0mh1Gjs7b-vRcPo?e=eokfO0" TargetMode="External"/><Relationship Id="rId33" Type="http://schemas.openxmlformats.org/officeDocument/2006/relationships/hyperlink" Target="https://senermx.sharepoint.com/:f:/s/DGMESNIE/IgAozB8gQxkMSKZ9kQr_xC_SAdZuncy4-9Twn92_hMexrEc?e=VP9uDh" TargetMode="External"/><Relationship Id="rId2" Type="http://schemas.openxmlformats.org/officeDocument/2006/relationships/hyperlink" Target="https://senermx.sharepoint.com/:f:/s/DGMESNIE/En6lIoBvQdpDoKVLzWYWkIUBNfYO59HVyEjZiyP_rehBnw?e=svK2zR" TargetMode="External"/><Relationship Id="rId16" Type="http://schemas.openxmlformats.org/officeDocument/2006/relationships/hyperlink" Target="https://senermx.sharepoint.com/:f:/s/DGMESNIE/IgCUlMMbz1LlT7aqKSYEWTgVAbwPnH5J0liGss4H1N9xmlU?e=oTLoBA" TargetMode="External"/><Relationship Id="rId20" Type="http://schemas.openxmlformats.org/officeDocument/2006/relationships/hyperlink" Target="https://senermx.sharepoint.com/:f:/s/DGMESNIE/EhGWma7eOxpHqt74uyvDnTwBdqCmpk-xRHnYHYPZGmKcgA?e=0MK48c" TargetMode="External"/><Relationship Id="rId29" Type="http://schemas.openxmlformats.org/officeDocument/2006/relationships/hyperlink" Target="https://senermx.sharepoint.com/:f:/s/DGMESNIE/IgCFwK-XdLEOQp3w_YYIzZWrAdJGY1PX8zEFbprptMSGegM?e=iWth0F" TargetMode="External"/><Relationship Id="rId1" Type="http://schemas.openxmlformats.org/officeDocument/2006/relationships/hyperlink" Target="https://senermx.sharepoint.com/:f:/s/DGMESNIE/EgDJFpnSgrdMmTev-r-hTUwByMyrUc2zaWzt7xyj1nRFIQ?e=DSb3j0" TargetMode="External"/><Relationship Id="rId6" Type="http://schemas.openxmlformats.org/officeDocument/2006/relationships/hyperlink" Target="https://senermx.sharepoint.com/:f:/s/DGMESNIE/EuXq18ITP69JqayeG1_6-80Be5hYl3BOKnjjU5ERLTqvnA?e=eflbVR" TargetMode="External"/><Relationship Id="rId11" Type="http://schemas.openxmlformats.org/officeDocument/2006/relationships/hyperlink" Target="https://senermx.sharepoint.com/:f:/s/DGMESNIE/IgDw4wvtBJnHTrN7Sf-06uAwASdtYu-PjXu0gX8Kb9IVkuY?e=9x24Od" TargetMode="External"/><Relationship Id="rId24" Type="http://schemas.openxmlformats.org/officeDocument/2006/relationships/hyperlink" Target="https://senermx.sharepoint.com/:f:/s/DGMESNIE/IgDw4wvtBJnHTrN7Sf-06uAwASdtYu-PjXu0gX8Kb9IVkuY?e=wht8A4" TargetMode="External"/><Relationship Id="rId32" Type="http://schemas.openxmlformats.org/officeDocument/2006/relationships/hyperlink" Target="https://senermx.sharepoint.com/:f:/s/DGMESNIE/IgDtK4s2TOfTRalbaaHLZJH_AdJWNNQ8TrGP5NaZB9PBP1c?e=3mv6LP" TargetMode="External"/><Relationship Id="rId5" Type="http://schemas.openxmlformats.org/officeDocument/2006/relationships/hyperlink" Target="https://senermx.sharepoint.com/:f:/s/DGMESNIE/Eq-H1h6K8CBGmw2WbX6G9ikBuLLIS2GZ0UHfSvUZw0rmqg?e=ZOxe11" TargetMode="External"/><Relationship Id="rId15" Type="http://schemas.openxmlformats.org/officeDocument/2006/relationships/hyperlink" Target="https://senermx.sharepoint.com/:f:/s/DGMESNIE/IgBskHiNO9gaQI3Au5me1PHgAZ-d1EPfwzW3-_nRGmGsqRY?e=jEnGe9" TargetMode="External"/><Relationship Id="rId23" Type="http://schemas.openxmlformats.org/officeDocument/2006/relationships/hyperlink" Target="https://senermx.sharepoint.com/:f:/s/DGMESNIE/IgDEQjPWKKILQ6Vea8prDaHlAZrZk8JOIR20GDAK0U4j-UE?e=ntbH9I" TargetMode="External"/><Relationship Id="rId28" Type="http://schemas.openxmlformats.org/officeDocument/2006/relationships/hyperlink" Target="https://senermx.sharepoint.com/:f:/s/DGMESNIE/IgD_0Hr-rlRTQqvbcc1RDJPGAZI4coXgWRBbKi10yGoBNIM?e=XSOpS8" TargetMode="External"/><Relationship Id="rId36" Type="http://schemas.openxmlformats.org/officeDocument/2006/relationships/table" Target="../tables/table1.xml"/><Relationship Id="rId10" Type="http://schemas.openxmlformats.org/officeDocument/2006/relationships/hyperlink" Target="https://senermx.sharepoint.com/:f:/s/DGMESNIE/EjDpbu3V9FdAtjvIbMBSB1ABPI8ZxonJpseuaeP-LOD4AA?e=tQYNcD" TargetMode="External"/><Relationship Id="rId19" Type="http://schemas.openxmlformats.org/officeDocument/2006/relationships/hyperlink" Target="https://senermx.sharepoint.com/:f:/s/DGMESNIE/IgDS-02OTdCiSabAwVonvJGSAaRb7ZHkHRRXZIsUjKj0fw4?e=IMLFUf" TargetMode="External"/><Relationship Id="rId31" Type="http://schemas.openxmlformats.org/officeDocument/2006/relationships/hyperlink" Target="https://senermx.sharepoint.com/:b:/s/DGMESNIE/IQAbF5Vjl_a-R7gm_zTw9FnlAQIRUfCJrXlcmSj2rlArGJI?e=R98QMS" TargetMode="External"/><Relationship Id="rId4" Type="http://schemas.openxmlformats.org/officeDocument/2006/relationships/hyperlink" Target="https://senermx.sharepoint.com/:f:/s/DGMESNIE/Ej9J-g8-ONVBkmZOXqyPoEgBmjTTg2D1Okp8bVF9TOGP1w?e=bl5tsK" TargetMode="External"/><Relationship Id="rId9" Type="http://schemas.openxmlformats.org/officeDocument/2006/relationships/hyperlink" Target="https://senermx.sharepoint.com/:f:/s/DGMESNIE/EggPTdp_1ENEn31kWoz3JKUs___nvVrWPEx0t5g?e=6GZLIAoQakBRn" TargetMode="External"/><Relationship Id="rId14" Type="http://schemas.openxmlformats.org/officeDocument/2006/relationships/hyperlink" Target="https://senermx.sharepoint.com/:f:/s/DGMESNIE/IgBBRcLjwtQgSY5KvtZgoTWmASBKlzVJU5Sbp0ftuvMq08k?e=4qyv8G" TargetMode="External"/><Relationship Id="rId22" Type="http://schemas.openxmlformats.org/officeDocument/2006/relationships/hyperlink" Target="https://senermx.sharepoint.com/:f:/s/DGMESNIE/IgAR8BgIFSKlSbpjx_BbYFBQAXYEBHWJIoG8RNF90UqsEQQ?e=aoIsYz" TargetMode="External"/><Relationship Id="rId27" Type="http://schemas.openxmlformats.org/officeDocument/2006/relationships/hyperlink" Target="https://senermx.sharepoint.com/:f:/s/DGMESNIE/IgC_yDFtl97TQKcz3JddyCg3AXO3FOzzm_EQp9KYbMU1SLQ?e=MB7bWQ" TargetMode="External"/><Relationship Id="rId30" Type="http://schemas.openxmlformats.org/officeDocument/2006/relationships/hyperlink" Target="https://senermx.sharepoint.com/:f:/s/DGMESNIE/IgDL3CvBLM3QQauM4ReXcuN_AQRM4_npsXVpGk9nCOMX3dw?e=ynGhh3" TargetMode="External"/><Relationship Id="rId35" Type="http://schemas.openxmlformats.org/officeDocument/2006/relationships/printerSettings" Target="../printerSettings/printerSettings1.bin"/><Relationship Id="rId8" Type="http://schemas.openxmlformats.org/officeDocument/2006/relationships/hyperlink" Target="https://senermx.sharepoint.com/:f:/s/DGMESNIE/Er1le_Q7_QlClyjQoE4aO9cBliIJgCg8pnLGILGmLJ6sEQ?e=4auRA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6C013-B7CD-499A-AB20-BFE02292DC49}">
  <dimension ref="A1:R39"/>
  <sheetViews>
    <sheetView tabSelected="1" zoomScale="60" zoomScaleNormal="60" workbookViewId="0">
      <pane ySplit="1" topLeftCell="A34" activePane="bottomLeft" state="frozen"/>
      <selection pane="bottomLeft" sqref="A1:XFD1048576"/>
    </sheetView>
  </sheetViews>
  <sheetFormatPr baseColWidth="10" defaultColWidth="19" defaultRowHeight="15" outlineLevelRow="1" x14ac:dyDescent="0.25"/>
  <cols>
    <col min="1" max="1" width="9.7109375" style="7" bestFit="1" customWidth="1"/>
    <col min="2" max="2" width="27.7109375" style="7" bestFit="1" customWidth="1"/>
    <col min="3" max="3" width="22" style="7" bestFit="1" customWidth="1"/>
    <col min="4" max="4" width="18" style="18" bestFit="1" customWidth="1"/>
    <col min="5" max="5" width="29.140625" style="13" bestFit="1" customWidth="1"/>
    <col min="6" max="6" width="26.85546875" style="20" bestFit="1" customWidth="1"/>
    <col min="7" max="7" width="26.28515625" style="18" bestFit="1" customWidth="1"/>
    <col min="8" max="8" width="20.85546875" style="18" bestFit="1" customWidth="1"/>
    <col min="9" max="9" width="45.140625" style="18" bestFit="1" customWidth="1"/>
    <col min="10" max="10" width="24.140625" style="18" bestFit="1" customWidth="1"/>
    <col min="11" max="11" width="26.85546875" style="7" bestFit="1" customWidth="1"/>
    <col min="12" max="12" width="18.7109375" style="18" bestFit="1" customWidth="1"/>
    <col min="13" max="13" width="72" style="7" bestFit="1" customWidth="1"/>
    <col min="14" max="14" width="107.7109375" style="18" bestFit="1" customWidth="1"/>
    <col min="15" max="15" width="26.85546875" style="14" bestFit="1" customWidth="1"/>
    <col min="16" max="16" width="147" style="14" bestFit="1" customWidth="1"/>
    <col min="17" max="17" width="25.140625" style="52" bestFit="1" customWidth="1"/>
    <col min="18" max="18" width="22.28515625" style="7" bestFit="1" customWidth="1"/>
    <col min="19" max="16384" width="19" style="7"/>
  </cols>
  <sheetData>
    <row r="1" spans="1:18" ht="54" customHeight="1" x14ac:dyDescent="0.25">
      <c r="A1" s="1" t="s">
        <v>0</v>
      </c>
      <c r="B1" s="6" t="s">
        <v>1</v>
      </c>
      <c r="C1" s="34" t="s">
        <v>2</v>
      </c>
      <c r="D1" s="2" t="s">
        <v>3</v>
      </c>
      <c r="E1" s="33" t="s">
        <v>4</v>
      </c>
      <c r="F1" s="4" t="s">
        <v>5</v>
      </c>
      <c r="G1" s="3" t="s">
        <v>6</v>
      </c>
      <c r="H1" s="3" t="s">
        <v>7</v>
      </c>
      <c r="I1" s="3" t="s">
        <v>8</v>
      </c>
      <c r="J1" s="5" t="s">
        <v>9</v>
      </c>
      <c r="K1" s="4" t="s">
        <v>10</v>
      </c>
      <c r="L1" s="3" t="s">
        <v>11</v>
      </c>
      <c r="M1" s="3" t="s">
        <v>12</v>
      </c>
      <c r="N1" s="5" t="s">
        <v>13</v>
      </c>
      <c r="O1" s="6" t="s">
        <v>14</v>
      </c>
      <c r="P1" s="6" t="s">
        <v>15</v>
      </c>
      <c r="Q1" s="6" t="s">
        <v>16</v>
      </c>
      <c r="R1" s="42" t="s">
        <v>17</v>
      </c>
    </row>
    <row r="2" spans="1:18" ht="36" outlineLevel="1" x14ac:dyDescent="0.25">
      <c r="A2" s="31">
        <v>1</v>
      </c>
      <c r="B2" s="8" t="s">
        <v>18</v>
      </c>
      <c r="C2" s="9"/>
      <c r="D2" s="21">
        <v>45824</v>
      </c>
      <c r="E2" s="17">
        <f ca="1">(TODAY()-D2)</f>
        <v>333</v>
      </c>
      <c r="F2" s="17"/>
      <c r="G2" s="17" t="s">
        <v>19</v>
      </c>
      <c r="H2" s="17" t="s">
        <v>19</v>
      </c>
      <c r="I2" s="17"/>
      <c r="J2" s="17" t="s">
        <v>20</v>
      </c>
      <c r="K2" s="16">
        <v>45910</v>
      </c>
      <c r="L2" s="17" t="s">
        <v>21</v>
      </c>
      <c r="M2" s="8" t="s">
        <v>22</v>
      </c>
      <c r="N2" s="17" t="s">
        <v>23</v>
      </c>
      <c r="O2" s="47" t="s">
        <v>24</v>
      </c>
      <c r="P2" s="10"/>
      <c r="Q2" s="51"/>
      <c r="R2" s="17"/>
    </row>
    <row r="3" spans="1:18" ht="36" outlineLevel="1" x14ac:dyDescent="0.25">
      <c r="A3" s="17">
        <v>2</v>
      </c>
      <c r="B3" s="8" t="s">
        <v>25</v>
      </c>
      <c r="C3" s="9"/>
      <c r="D3" s="21">
        <v>45811</v>
      </c>
      <c r="E3" s="17">
        <f t="shared" ref="E3:E34" ca="1" si="0">(TODAY()-D3)</f>
        <v>346</v>
      </c>
      <c r="F3" s="17"/>
      <c r="G3" s="17" t="s">
        <v>19</v>
      </c>
      <c r="H3" s="17"/>
      <c r="I3" s="17" t="s">
        <v>19</v>
      </c>
      <c r="J3" s="17" t="s">
        <v>20</v>
      </c>
      <c r="K3" s="16">
        <v>45987</v>
      </c>
      <c r="L3" s="17" t="s">
        <v>21</v>
      </c>
      <c r="M3" s="8" t="s">
        <v>26</v>
      </c>
      <c r="N3" s="17" t="s">
        <v>27</v>
      </c>
      <c r="O3" s="47" t="s">
        <v>28</v>
      </c>
      <c r="P3" s="10"/>
      <c r="Q3" s="51"/>
      <c r="R3" s="17"/>
    </row>
    <row r="4" spans="1:18" ht="36" outlineLevel="1" x14ac:dyDescent="0.25">
      <c r="A4" s="31">
        <v>3</v>
      </c>
      <c r="B4" s="8" t="s">
        <v>29</v>
      </c>
      <c r="C4" s="9"/>
      <c r="D4" s="16">
        <v>45961</v>
      </c>
      <c r="E4" s="17">
        <f t="shared" ca="1" si="0"/>
        <v>196</v>
      </c>
      <c r="F4" s="19"/>
      <c r="G4" s="16" t="s">
        <v>19</v>
      </c>
      <c r="H4" s="16" t="s">
        <v>19</v>
      </c>
      <c r="I4" s="16"/>
      <c r="J4" s="17" t="s">
        <v>20</v>
      </c>
      <c r="K4" s="16">
        <v>45968</v>
      </c>
      <c r="L4" s="16" t="s">
        <v>21</v>
      </c>
      <c r="M4" s="8" t="s">
        <v>22</v>
      </c>
      <c r="N4" s="17" t="s">
        <v>23</v>
      </c>
      <c r="O4" s="47" t="s">
        <v>30</v>
      </c>
      <c r="P4" s="10"/>
      <c r="Q4" s="51"/>
      <c r="R4" s="17"/>
    </row>
    <row r="5" spans="1:18" ht="36" outlineLevel="1" x14ac:dyDescent="0.25">
      <c r="A5" s="17">
        <v>4</v>
      </c>
      <c r="B5" s="8" t="s">
        <v>31</v>
      </c>
      <c r="C5" s="9"/>
      <c r="D5" s="16">
        <v>45985</v>
      </c>
      <c r="E5" s="17">
        <f t="shared" ca="1" si="0"/>
        <v>172</v>
      </c>
      <c r="F5" s="19">
        <v>45987</v>
      </c>
      <c r="G5" s="17" t="s">
        <v>19</v>
      </c>
      <c r="H5" s="17"/>
      <c r="I5" s="17" t="s">
        <v>19</v>
      </c>
      <c r="J5" s="17" t="s">
        <v>20</v>
      </c>
      <c r="K5" s="16">
        <v>45994</v>
      </c>
      <c r="L5" s="17" t="s">
        <v>21</v>
      </c>
      <c r="M5" s="8" t="s">
        <v>22</v>
      </c>
      <c r="N5" s="17" t="s">
        <v>27</v>
      </c>
      <c r="O5" s="47" t="s">
        <v>32</v>
      </c>
      <c r="P5" s="10"/>
      <c r="Q5" s="51"/>
      <c r="R5" s="17"/>
    </row>
    <row r="6" spans="1:18" ht="36" outlineLevel="1" x14ac:dyDescent="0.25">
      <c r="A6" s="31">
        <v>5</v>
      </c>
      <c r="B6" s="8" t="s">
        <v>33</v>
      </c>
      <c r="C6" s="9"/>
      <c r="D6" s="16">
        <v>45961</v>
      </c>
      <c r="E6" s="17">
        <f t="shared" ca="1" si="0"/>
        <v>196</v>
      </c>
      <c r="F6" s="21">
        <v>45989</v>
      </c>
      <c r="G6" s="17" t="s">
        <v>34</v>
      </c>
      <c r="H6" s="17" t="s">
        <v>34</v>
      </c>
      <c r="I6" s="17"/>
      <c r="J6" s="17" t="s">
        <v>20</v>
      </c>
      <c r="K6" s="16">
        <v>46015</v>
      </c>
      <c r="L6" s="17" t="s">
        <v>21</v>
      </c>
      <c r="M6" s="8" t="s">
        <v>22</v>
      </c>
      <c r="N6" s="17" t="s">
        <v>23</v>
      </c>
      <c r="O6" s="47" t="s">
        <v>35</v>
      </c>
      <c r="P6" s="8"/>
      <c r="Q6" s="17"/>
      <c r="R6" s="17"/>
    </row>
    <row r="7" spans="1:18" ht="72" outlineLevel="1" x14ac:dyDescent="0.25">
      <c r="A7" s="17">
        <v>6</v>
      </c>
      <c r="B7" s="8" t="s">
        <v>36</v>
      </c>
      <c r="C7" s="9"/>
      <c r="D7" s="21">
        <v>45999</v>
      </c>
      <c r="E7" s="17">
        <f t="shared" ca="1" si="0"/>
        <v>158</v>
      </c>
      <c r="F7" s="19"/>
      <c r="G7" s="16" t="s">
        <v>19</v>
      </c>
      <c r="H7" s="16"/>
      <c r="I7" s="16"/>
      <c r="J7" s="17" t="s">
        <v>20</v>
      </c>
      <c r="K7" s="16">
        <v>46006</v>
      </c>
      <c r="L7" s="16" t="s">
        <v>37</v>
      </c>
      <c r="M7" s="8" t="s">
        <v>38</v>
      </c>
      <c r="N7" s="17" t="s">
        <v>39</v>
      </c>
      <c r="O7" s="47" t="s">
        <v>40</v>
      </c>
      <c r="P7" s="8" t="s">
        <v>41</v>
      </c>
      <c r="Q7" s="51"/>
      <c r="R7" s="17"/>
    </row>
    <row r="8" spans="1:18" ht="108" outlineLevel="1" x14ac:dyDescent="0.25">
      <c r="A8" s="31">
        <v>7</v>
      </c>
      <c r="B8" s="8" t="s">
        <v>42</v>
      </c>
      <c r="C8" s="9"/>
      <c r="D8" s="16">
        <v>45986</v>
      </c>
      <c r="E8" s="17">
        <f t="shared" ca="1" si="0"/>
        <v>171</v>
      </c>
      <c r="F8" s="17"/>
      <c r="G8" s="17" t="s">
        <v>43</v>
      </c>
      <c r="H8" s="17"/>
      <c r="I8" s="17" t="s">
        <v>43</v>
      </c>
      <c r="J8" s="17" t="s">
        <v>20</v>
      </c>
      <c r="K8" s="16">
        <v>46015</v>
      </c>
      <c r="L8" s="17" t="s">
        <v>44</v>
      </c>
      <c r="M8" s="8" t="s">
        <v>45</v>
      </c>
      <c r="N8" s="17" t="s">
        <v>39</v>
      </c>
      <c r="O8" s="47" t="s">
        <v>46</v>
      </c>
      <c r="P8" s="8"/>
      <c r="Q8" s="17"/>
      <c r="R8" s="17"/>
    </row>
    <row r="9" spans="1:18" ht="216" outlineLevel="1" x14ac:dyDescent="0.25">
      <c r="A9" s="17">
        <v>8</v>
      </c>
      <c r="B9" s="8" t="s">
        <v>47</v>
      </c>
      <c r="C9" s="9"/>
      <c r="D9" s="16">
        <v>45945</v>
      </c>
      <c r="E9" s="17">
        <f t="shared" ca="1" si="0"/>
        <v>212</v>
      </c>
      <c r="F9" s="19">
        <v>46031</v>
      </c>
      <c r="G9" s="16" t="s">
        <v>48</v>
      </c>
      <c r="H9" s="16" t="s">
        <v>48</v>
      </c>
      <c r="I9" s="16"/>
      <c r="J9" s="17" t="s">
        <v>20</v>
      </c>
      <c r="K9" s="16">
        <v>46036</v>
      </c>
      <c r="L9" s="16" t="s">
        <v>21</v>
      </c>
      <c r="M9" s="8" t="s">
        <v>49</v>
      </c>
      <c r="N9" s="17" t="s">
        <v>50</v>
      </c>
      <c r="O9" s="47" t="s">
        <v>51</v>
      </c>
      <c r="P9" s="8" t="s">
        <v>52</v>
      </c>
      <c r="Q9" s="11" t="s">
        <v>53</v>
      </c>
      <c r="R9" s="17"/>
    </row>
    <row r="10" spans="1:18" ht="288" outlineLevel="1" x14ac:dyDescent="0.25">
      <c r="A10" s="31">
        <v>9</v>
      </c>
      <c r="B10" s="43" t="s">
        <v>54</v>
      </c>
      <c r="C10" s="9"/>
      <c r="D10" s="16">
        <v>45960</v>
      </c>
      <c r="E10" s="17">
        <f t="shared" ca="1" si="0"/>
        <v>197</v>
      </c>
      <c r="F10" s="17"/>
      <c r="G10" s="17" t="s">
        <v>34</v>
      </c>
      <c r="H10" s="17" t="s">
        <v>34</v>
      </c>
      <c r="I10" s="17"/>
      <c r="J10" s="25" t="s">
        <v>55</v>
      </c>
      <c r="K10" s="8"/>
      <c r="L10" s="17" t="s">
        <v>56</v>
      </c>
      <c r="M10" s="8" t="s">
        <v>57</v>
      </c>
      <c r="N10" s="17" t="s">
        <v>58</v>
      </c>
      <c r="O10" s="47" t="s">
        <v>59</v>
      </c>
      <c r="P10" s="8" t="s">
        <v>60</v>
      </c>
      <c r="Q10" s="21">
        <v>46146</v>
      </c>
      <c r="R10" s="17" t="s">
        <v>61</v>
      </c>
    </row>
    <row r="11" spans="1:18" ht="90" outlineLevel="1" x14ac:dyDescent="0.25">
      <c r="A11" s="17">
        <v>10</v>
      </c>
      <c r="B11" s="8" t="s">
        <v>62</v>
      </c>
      <c r="C11" s="9"/>
      <c r="D11" s="16">
        <v>45972</v>
      </c>
      <c r="E11" s="17">
        <f t="shared" ca="1" si="0"/>
        <v>185</v>
      </c>
      <c r="F11" s="19">
        <v>46030</v>
      </c>
      <c r="G11" s="16" t="s">
        <v>63</v>
      </c>
      <c r="H11" s="16" t="s">
        <v>63</v>
      </c>
      <c r="I11" s="16"/>
      <c r="J11" s="17" t="s">
        <v>20</v>
      </c>
      <c r="K11" s="16">
        <v>46031</v>
      </c>
      <c r="L11" s="17" t="s">
        <v>56</v>
      </c>
      <c r="M11" s="8" t="s">
        <v>64</v>
      </c>
      <c r="N11" s="17" t="s">
        <v>50</v>
      </c>
      <c r="O11" s="47" t="s">
        <v>65</v>
      </c>
      <c r="P11" s="8" t="s">
        <v>66</v>
      </c>
      <c r="Q11" s="11" t="s">
        <v>67</v>
      </c>
      <c r="R11" s="17"/>
    </row>
    <row r="12" spans="1:18" ht="396" outlineLevel="1" x14ac:dyDescent="0.25">
      <c r="A12" s="31">
        <v>11</v>
      </c>
      <c r="B12" s="45" t="s">
        <v>68</v>
      </c>
      <c r="C12" s="37"/>
      <c r="D12" s="21">
        <v>45988</v>
      </c>
      <c r="E12" s="17">
        <f t="shared" ca="1" si="0"/>
        <v>169</v>
      </c>
      <c r="F12" s="21"/>
      <c r="G12" s="17"/>
      <c r="H12" s="17"/>
      <c r="I12" s="17"/>
      <c r="J12" s="48" t="s">
        <v>69</v>
      </c>
      <c r="K12" s="8"/>
      <c r="L12" s="17" t="s">
        <v>21</v>
      </c>
      <c r="M12" s="8" t="s">
        <v>70</v>
      </c>
      <c r="N12" s="17" t="s">
        <v>71</v>
      </c>
      <c r="O12" s="47" t="s">
        <v>72</v>
      </c>
      <c r="P12" s="49" t="s">
        <v>73</v>
      </c>
      <c r="Q12" s="17" t="s">
        <v>74</v>
      </c>
      <c r="R12" s="17"/>
    </row>
    <row r="13" spans="1:18" ht="396" outlineLevel="1" x14ac:dyDescent="0.25">
      <c r="A13" s="17">
        <v>12</v>
      </c>
      <c r="B13" s="45" t="s">
        <v>75</v>
      </c>
      <c r="C13" s="37"/>
      <c r="D13" s="16">
        <v>45989</v>
      </c>
      <c r="E13" s="17">
        <f t="shared" ca="1" si="0"/>
        <v>168</v>
      </c>
      <c r="F13" s="19"/>
      <c r="G13" s="16"/>
      <c r="H13" s="16"/>
      <c r="I13" s="16"/>
      <c r="J13" s="48" t="s">
        <v>76</v>
      </c>
      <c r="K13" s="16"/>
      <c r="L13" s="16" t="s">
        <v>21</v>
      </c>
      <c r="M13" s="8" t="s">
        <v>77</v>
      </c>
      <c r="N13" s="36" t="s">
        <v>78</v>
      </c>
      <c r="O13" s="47" t="s">
        <v>79</v>
      </c>
      <c r="P13" s="8" t="s">
        <v>80</v>
      </c>
      <c r="Q13" s="17" t="s">
        <v>81</v>
      </c>
      <c r="R13" s="17"/>
    </row>
    <row r="14" spans="1:18" ht="144" outlineLevel="1" x14ac:dyDescent="0.25">
      <c r="A14" s="31">
        <v>13</v>
      </c>
      <c r="B14" s="8" t="s">
        <v>82</v>
      </c>
      <c r="C14" s="9"/>
      <c r="D14" s="21">
        <v>45989</v>
      </c>
      <c r="E14" s="17">
        <f t="shared" ca="1" si="0"/>
        <v>168</v>
      </c>
      <c r="F14" s="21">
        <v>46034</v>
      </c>
      <c r="G14" s="17" t="s">
        <v>48</v>
      </c>
      <c r="H14" s="17" t="s">
        <v>48</v>
      </c>
      <c r="I14" s="17"/>
      <c r="J14" s="17" t="s">
        <v>20</v>
      </c>
      <c r="K14" s="15">
        <v>46036</v>
      </c>
      <c r="L14" s="17" t="s">
        <v>21</v>
      </c>
      <c r="M14" s="8" t="s">
        <v>83</v>
      </c>
      <c r="N14" s="17" t="s">
        <v>50</v>
      </c>
      <c r="O14" s="47" t="s">
        <v>84</v>
      </c>
      <c r="P14" s="8" t="s">
        <v>85</v>
      </c>
      <c r="Q14" s="11" t="s">
        <v>86</v>
      </c>
      <c r="R14" s="17"/>
    </row>
    <row r="15" spans="1:18" ht="342" x14ac:dyDescent="0.25">
      <c r="A15" s="17">
        <v>14</v>
      </c>
      <c r="B15" s="8" t="s">
        <v>87</v>
      </c>
      <c r="C15" s="9"/>
      <c r="D15" s="16">
        <v>45994</v>
      </c>
      <c r="E15" s="17">
        <f t="shared" ca="1" si="0"/>
        <v>163</v>
      </c>
      <c r="F15" s="19">
        <v>46035</v>
      </c>
      <c r="G15" s="17" t="s">
        <v>34</v>
      </c>
      <c r="H15" s="17" t="s">
        <v>34</v>
      </c>
      <c r="I15" s="17"/>
      <c r="J15" s="17" t="s">
        <v>20</v>
      </c>
      <c r="K15" s="15">
        <v>46037</v>
      </c>
      <c r="L15" s="17" t="s">
        <v>21</v>
      </c>
      <c r="M15" s="8" t="s">
        <v>88</v>
      </c>
      <c r="N15" s="17" t="s">
        <v>50</v>
      </c>
      <c r="O15" s="47" t="s">
        <v>89</v>
      </c>
      <c r="P15" s="8" t="s">
        <v>90</v>
      </c>
      <c r="Q15" s="11" t="s">
        <v>91</v>
      </c>
      <c r="R15" s="17"/>
    </row>
    <row r="16" spans="1:18" ht="114.75" customHeight="1" x14ac:dyDescent="0.25">
      <c r="A16" s="31">
        <v>15</v>
      </c>
      <c r="B16" s="8" t="s">
        <v>92</v>
      </c>
      <c r="C16" s="9"/>
      <c r="D16" s="21">
        <v>46002</v>
      </c>
      <c r="E16" s="17">
        <f t="shared" ca="1" si="0"/>
        <v>155</v>
      </c>
      <c r="F16" s="21">
        <v>46041</v>
      </c>
      <c r="G16" s="17" t="s">
        <v>93</v>
      </c>
      <c r="H16" s="17" t="s">
        <v>94</v>
      </c>
      <c r="I16" s="17"/>
      <c r="J16" s="17" t="s">
        <v>20</v>
      </c>
      <c r="K16" s="21">
        <v>46052</v>
      </c>
      <c r="L16" s="17" t="s">
        <v>37</v>
      </c>
      <c r="M16" s="8" t="s">
        <v>95</v>
      </c>
      <c r="N16" s="17" t="s">
        <v>50</v>
      </c>
      <c r="O16" s="47" t="s">
        <v>96</v>
      </c>
      <c r="P16" s="8" t="s">
        <v>97</v>
      </c>
      <c r="Q16" s="11" t="s">
        <v>98</v>
      </c>
      <c r="R16" s="17"/>
    </row>
    <row r="17" spans="1:18" ht="144" x14ac:dyDescent="0.25">
      <c r="A17" s="17">
        <v>16</v>
      </c>
      <c r="B17" s="8" t="s">
        <v>99</v>
      </c>
      <c r="C17" s="9"/>
      <c r="D17" s="16">
        <v>46003</v>
      </c>
      <c r="E17" s="17">
        <f t="shared" ca="1" si="0"/>
        <v>154</v>
      </c>
      <c r="F17" s="19">
        <v>46038</v>
      </c>
      <c r="G17" s="17" t="s">
        <v>34</v>
      </c>
      <c r="H17" s="17" t="s">
        <v>34</v>
      </c>
      <c r="I17" s="17"/>
      <c r="J17" s="17" t="s">
        <v>20</v>
      </c>
      <c r="K17" s="15">
        <v>46048</v>
      </c>
      <c r="L17" s="17" t="s">
        <v>21</v>
      </c>
      <c r="M17" s="8" t="s">
        <v>100</v>
      </c>
      <c r="N17" s="17" t="s">
        <v>50</v>
      </c>
      <c r="O17" s="47" t="s">
        <v>101</v>
      </c>
      <c r="P17" s="8" t="s">
        <v>102</v>
      </c>
      <c r="Q17" s="11" t="s">
        <v>103</v>
      </c>
      <c r="R17" s="17"/>
    </row>
    <row r="18" spans="1:18" ht="54" x14ac:dyDescent="0.25">
      <c r="A18" s="31">
        <v>17</v>
      </c>
      <c r="B18" s="8" t="s">
        <v>104</v>
      </c>
      <c r="C18" s="9"/>
      <c r="D18" s="21">
        <v>46006</v>
      </c>
      <c r="E18" s="17">
        <f t="shared" ca="1" si="0"/>
        <v>151</v>
      </c>
      <c r="F18" s="17"/>
      <c r="G18" s="17" t="s">
        <v>19</v>
      </c>
      <c r="H18" s="17"/>
      <c r="I18" s="17" t="s">
        <v>19</v>
      </c>
      <c r="J18" s="17" t="s">
        <v>20</v>
      </c>
      <c r="K18" s="8"/>
      <c r="L18" s="17" t="s">
        <v>105</v>
      </c>
      <c r="M18" s="8" t="s">
        <v>106</v>
      </c>
      <c r="N18" s="17" t="s">
        <v>107</v>
      </c>
      <c r="O18" s="47" t="s">
        <v>108</v>
      </c>
      <c r="P18" s="8"/>
      <c r="Q18" s="17"/>
      <c r="R18" s="17"/>
    </row>
    <row r="19" spans="1:18" ht="180" x14ac:dyDescent="0.25">
      <c r="A19" s="17">
        <v>18</v>
      </c>
      <c r="B19" s="8" t="s">
        <v>109</v>
      </c>
      <c r="C19" s="9"/>
      <c r="D19" s="16">
        <v>46008</v>
      </c>
      <c r="E19" s="17">
        <f t="shared" ca="1" si="0"/>
        <v>149</v>
      </c>
      <c r="F19" s="19"/>
      <c r="G19" s="17" t="s">
        <v>19</v>
      </c>
      <c r="H19" s="17"/>
      <c r="I19" s="17" t="s">
        <v>19</v>
      </c>
      <c r="J19" s="17" t="s">
        <v>110</v>
      </c>
      <c r="K19" s="21">
        <v>46030</v>
      </c>
      <c r="L19" s="17" t="s">
        <v>111</v>
      </c>
      <c r="M19" s="8" t="s">
        <v>112</v>
      </c>
      <c r="N19" s="25" t="s">
        <v>113</v>
      </c>
      <c r="O19" s="47" t="s">
        <v>114</v>
      </c>
      <c r="P19" s="8" t="s">
        <v>115</v>
      </c>
      <c r="Q19" s="11"/>
      <c r="R19" s="17"/>
    </row>
    <row r="20" spans="1:18" ht="162" x14ac:dyDescent="0.25">
      <c r="A20" s="31">
        <v>19</v>
      </c>
      <c r="B20" s="8" t="s">
        <v>116</v>
      </c>
      <c r="C20" s="9"/>
      <c r="D20" s="21">
        <v>46009</v>
      </c>
      <c r="E20" s="17">
        <f t="shared" ca="1" si="0"/>
        <v>148</v>
      </c>
      <c r="F20" s="21">
        <v>46037</v>
      </c>
      <c r="G20" s="17" t="s">
        <v>48</v>
      </c>
      <c r="H20" s="17" t="s">
        <v>48</v>
      </c>
      <c r="I20" s="17"/>
      <c r="J20" s="17" t="s">
        <v>20</v>
      </c>
      <c r="K20" s="15">
        <v>46037</v>
      </c>
      <c r="L20" s="17" t="s">
        <v>21</v>
      </c>
      <c r="M20" s="8" t="s">
        <v>117</v>
      </c>
      <c r="N20" s="17" t="s">
        <v>50</v>
      </c>
      <c r="O20" s="47" t="s">
        <v>118</v>
      </c>
      <c r="P20" s="50" t="s">
        <v>119</v>
      </c>
      <c r="Q20" s="11" t="s">
        <v>120</v>
      </c>
      <c r="R20" s="17"/>
    </row>
    <row r="21" spans="1:18" ht="162" x14ac:dyDescent="0.25">
      <c r="A21" s="17">
        <v>20</v>
      </c>
      <c r="B21" s="8" t="s">
        <v>121</v>
      </c>
      <c r="C21" s="9"/>
      <c r="D21" s="16">
        <v>46010</v>
      </c>
      <c r="E21" s="17">
        <f t="shared" ca="1" si="0"/>
        <v>147</v>
      </c>
      <c r="F21" s="19">
        <v>46041</v>
      </c>
      <c r="G21" s="17" t="s">
        <v>48</v>
      </c>
      <c r="H21" s="17" t="s">
        <v>48</v>
      </c>
      <c r="I21" s="17"/>
      <c r="J21" s="17" t="s">
        <v>20</v>
      </c>
      <c r="K21" s="21">
        <v>46048</v>
      </c>
      <c r="L21" s="17" t="s">
        <v>21</v>
      </c>
      <c r="M21" s="8" t="s">
        <v>122</v>
      </c>
      <c r="N21" s="17" t="s">
        <v>50</v>
      </c>
      <c r="O21" s="47" t="s">
        <v>123</v>
      </c>
      <c r="P21" s="53" t="s">
        <v>124</v>
      </c>
      <c r="Q21" s="11" t="s">
        <v>125</v>
      </c>
      <c r="R21" s="17"/>
    </row>
    <row r="22" spans="1:18" ht="270" x14ac:dyDescent="0.25">
      <c r="A22" s="31">
        <v>21</v>
      </c>
      <c r="B22" s="8" t="s">
        <v>126</v>
      </c>
      <c r="C22" s="9"/>
      <c r="D22" s="21">
        <v>46010</v>
      </c>
      <c r="E22" s="17">
        <f t="shared" ca="1" si="0"/>
        <v>147</v>
      </c>
      <c r="F22" s="21">
        <v>46035</v>
      </c>
      <c r="G22" s="17" t="s">
        <v>63</v>
      </c>
      <c r="H22" s="17" t="s">
        <v>63</v>
      </c>
      <c r="I22" s="17"/>
      <c r="J22" s="17" t="s">
        <v>20</v>
      </c>
      <c r="K22" s="21">
        <v>46048</v>
      </c>
      <c r="L22" s="17" t="s">
        <v>21</v>
      </c>
      <c r="M22" s="8" t="s">
        <v>127</v>
      </c>
      <c r="N22" s="17" t="s">
        <v>128</v>
      </c>
      <c r="O22" s="47" t="s">
        <v>129</v>
      </c>
      <c r="P22" s="8" t="s">
        <v>130</v>
      </c>
      <c r="Q22" s="17" t="s">
        <v>131</v>
      </c>
      <c r="R22" s="17"/>
    </row>
    <row r="23" spans="1:18" ht="60" customHeight="1" x14ac:dyDescent="0.25">
      <c r="A23" s="17">
        <v>22</v>
      </c>
      <c r="B23" s="8" t="s">
        <v>132</v>
      </c>
      <c r="C23" s="9"/>
      <c r="D23" s="21">
        <v>46013</v>
      </c>
      <c r="E23" s="17">
        <f t="shared" ca="1" si="0"/>
        <v>144</v>
      </c>
      <c r="F23" s="21">
        <v>46035</v>
      </c>
      <c r="G23" s="17" t="s">
        <v>63</v>
      </c>
      <c r="H23" s="17" t="s">
        <v>63</v>
      </c>
      <c r="I23" s="17"/>
      <c r="J23" s="17" t="s">
        <v>20</v>
      </c>
      <c r="K23" s="21">
        <v>46048</v>
      </c>
      <c r="L23" s="17" t="s">
        <v>21</v>
      </c>
      <c r="M23" s="8" t="s">
        <v>133</v>
      </c>
      <c r="N23" s="17" t="s">
        <v>128</v>
      </c>
      <c r="O23" s="47" t="s">
        <v>134</v>
      </c>
      <c r="P23" s="8"/>
      <c r="Q23" s="17" t="s">
        <v>131</v>
      </c>
      <c r="R23" s="17"/>
    </row>
    <row r="24" spans="1:18" ht="270" x14ac:dyDescent="0.25">
      <c r="A24" s="31">
        <v>23</v>
      </c>
      <c r="B24" s="8" t="s">
        <v>135</v>
      </c>
      <c r="C24" s="9"/>
      <c r="D24" s="21">
        <v>46020</v>
      </c>
      <c r="E24" s="17">
        <f t="shared" ca="1" si="0"/>
        <v>137</v>
      </c>
      <c r="F24" s="21">
        <v>46042</v>
      </c>
      <c r="G24" s="17" t="s">
        <v>34</v>
      </c>
      <c r="H24" s="17" t="s">
        <v>34</v>
      </c>
      <c r="I24" s="17"/>
      <c r="J24" s="17" t="s">
        <v>20</v>
      </c>
      <c r="K24" s="21">
        <v>46052</v>
      </c>
      <c r="L24" s="17" t="s">
        <v>21</v>
      </c>
      <c r="M24" s="8" t="s">
        <v>136</v>
      </c>
      <c r="N24" s="17" t="s">
        <v>50</v>
      </c>
      <c r="O24" s="47" t="s">
        <v>137</v>
      </c>
      <c r="P24" s="8" t="s">
        <v>41</v>
      </c>
      <c r="Q24" s="11" t="s">
        <v>138</v>
      </c>
      <c r="R24" s="17"/>
    </row>
    <row r="25" spans="1:18" ht="108" x14ac:dyDescent="0.25">
      <c r="A25" s="32">
        <v>24</v>
      </c>
      <c r="B25" s="22" t="s">
        <v>139</v>
      </c>
      <c r="C25" s="26"/>
      <c r="D25" s="21">
        <v>46030</v>
      </c>
      <c r="E25" s="17">
        <f t="shared" ca="1" si="0"/>
        <v>127</v>
      </c>
      <c r="F25" s="24">
        <v>46043</v>
      </c>
      <c r="G25" s="23" t="s">
        <v>48</v>
      </c>
      <c r="H25" s="23" t="s">
        <v>48</v>
      </c>
      <c r="I25" s="23"/>
      <c r="J25" s="17" t="s">
        <v>20</v>
      </c>
      <c r="K25" s="24">
        <v>46052</v>
      </c>
      <c r="L25" s="17" t="s">
        <v>21</v>
      </c>
      <c r="M25" s="22" t="s">
        <v>140</v>
      </c>
      <c r="N25" s="17" t="s">
        <v>50</v>
      </c>
      <c r="O25" s="47" t="s">
        <v>141</v>
      </c>
      <c r="P25" s="22" t="s">
        <v>142</v>
      </c>
      <c r="Q25" s="11" t="s">
        <v>143</v>
      </c>
      <c r="R25" s="17"/>
    </row>
    <row r="26" spans="1:18" ht="84" customHeight="1" x14ac:dyDescent="0.25">
      <c r="A26" s="31">
        <v>25</v>
      </c>
      <c r="B26" s="8" t="s">
        <v>92</v>
      </c>
      <c r="C26" s="27"/>
      <c r="D26" s="21">
        <v>46049</v>
      </c>
      <c r="E26" s="17">
        <f t="shared" ca="1" si="0"/>
        <v>108</v>
      </c>
      <c r="F26" s="21">
        <v>46052</v>
      </c>
      <c r="G26" s="17" t="s">
        <v>19</v>
      </c>
      <c r="H26" s="17" t="s">
        <v>19</v>
      </c>
      <c r="I26" s="17"/>
      <c r="J26" s="17" t="s">
        <v>20</v>
      </c>
      <c r="K26" s="21">
        <v>46052</v>
      </c>
      <c r="L26" s="17" t="s">
        <v>21</v>
      </c>
      <c r="M26" s="8" t="s">
        <v>144</v>
      </c>
      <c r="N26" s="17" t="s">
        <v>50</v>
      </c>
      <c r="O26" s="47" t="s">
        <v>96</v>
      </c>
      <c r="P26" s="8" t="s">
        <v>97</v>
      </c>
      <c r="Q26" s="28" t="s">
        <v>145</v>
      </c>
      <c r="R26" s="17"/>
    </row>
    <row r="27" spans="1:18" ht="84" customHeight="1" x14ac:dyDescent="0.25">
      <c r="A27" s="17">
        <v>26</v>
      </c>
      <c r="B27" s="8" t="s">
        <v>146</v>
      </c>
      <c r="C27" s="27"/>
      <c r="D27" s="21">
        <v>46042</v>
      </c>
      <c r="E27" s="17">
        <f t="shared" ca="1" si="0"/>
        <v>115</v>
      </c>
      <c r="F27" s="21">
        <v>46052</v>
      </c>
      <c r="G27" s="17" t="s">
        <v>63</v>
      </c>
      <c r="H27" s="17" t="s">
        <v>63</v>
      </c>
      <c r="I27" s="17"/>
      <c r="J27" s="17" t="s">
        <v>20</v>
      </c>
      <c r="K27" s="21">
        <v>46070</v>
      </c>
      <c r="L27" s="17" t="s">
        <v>21</v>
      </c>
      <c r="M27" s="8" t="s">
        <v>147</v>
      </c>
      <c r="N27" s="17" t="s">
        <v>50</v>
      </c>
      <c r="O27" s="47" t="s">
        <v>148</v>
      </c>
      <c r="P27" s="8" t="s">
        <v>149</v>
      </c>
      <c r="Q27" s="11" t="s">
        <v>150</v>
      </c>
      <c r="R27" s="17"/>
    </row>
    <row r="28" spans="1:18" ht="162" x14ac:dyDescent="0.25">
      <c r="A28" s="31">
        <v>27</v>
      </c>
      <c r="B28" s="8" t="s">
        <v>151</v>
      </c>
      <c r="C28" s="27"/>
      <c r="D28" s="21">
        <v>46051</v>
      </c>
      <c r="E28" s="17">
        <f t="shared" ca="1" si="0"/>
        <v>106</v>
      </c>
      <c r="F28" s="21">
        <v>46083</v>
      </c>
      <c r="G28" s="17" t="s">
        <v>48</v>
      </c>
      <c r="H28" s="17" t="s">
        <v>48</v>
      </c>
      <c r="I28" s="17"/>
      <c r="J28" s="17" t="s">
        <v>20</v>
      </c>
      <c r="K28" s="21">
        <v>46084</v>
      </c>
      <c r="L28" s="17" t="s">
        <v>21</v>
      </c>
      <c r="M28" s="8" t="s">
        <v>152</v>
      </c>
      <c r="N28" s="17" t="s">
        <v>50</v>
      </c>
      <c r="O28" s="47" t="s">
        <v>153</v>
      </c>
      <c r="P28" s="8" t="s">
        <v>154</v>
      </c>
      <c r="Q28" s="11" t="s">
        <v>155</v>
      </c>
      <c r="R28" s="17"/>
    </row>
    <row r="29" spans="1:18" ht="216" x14ac:dyDescent="0.25">
      <c r="A29" s="17">
        <v>28</v>
      </c>
      <c r="B29" s="43" t="s">
        <v>156</v>
      </c>
      <c r="C29" s="29"/>
      <c r="D29" s="21">
        <v>46066</v>
      </c>
      <c r="E29" s="17">
        <f t="shared" ca="1" si="0"/>
        <v>91</v>
      </c>
      <c r="F29" s="21">
        <v>46083</v>
      </c>
      <c r="G29" s="17"/>
      <c r="H29" s="17"/>
      <c r="I29" s="17"/>
      <c r="J29" s="17" t="s">
        <v>157</v>
      </c>
      <c r="K29" s="8"/>
      <c r="L29" s="17" t="s">
        <v>21</v>
      </c>
      <c r="M29" s="8" t="s">
        <v>158</v>
      </c>
      <c r="N29" s="12"/>
      <c r="O29" s="47" t="s">
        <v>159</v>
      </c>
      <c r="P29" s="8" t="s">
        <v>160</v>
      </c>
      <c r="Q29" s="11" t="s">
        <v>161</v>
      </c>
      <c r="R29" s="17" t="s">
        <v>162</v>
      </c>
    </row>
    <row r="30" spans="1:18" ht="174" customHeight="1" x14ac:dyDescent="0.25">
      <c r="A30" s="31">
        <v>29</v>
      </c>
      <c r="B30" s="43" t="s">
        <v>109</v>
      </c>
      <c r="C30" s="27"/>
      <c r="D30" s="21">
        <v>46077</v>
      </c>
      <c r="E30" s="38">
        <f ca="1">(TODAY()-D30)</f>
        <v>80</v>
      </c>
      <c r="F30" s="21">
        <v>46136</v>
      </c>
      <c r="G30" s="17"/>
      <c r="H30" s="17"/>
      <c r="I30" s="17"/>
      <c r="J30" s="17" t="s">
        <v>163</v>
      </c>
      <c r="K30" s="8"/>
      <c r="L30" s="17" t="s">
        <v>111</v>
      </c>
      <c r="M30" s="8" t="s">
        <v>164</v>
      </c>
      <c r="N30" s="41" t="s">
        <v>165</v>
      </c>
      <c r="O30" s="47" t="s">
        <v>166</v>
      </c>
      <c r="P30" s="8" t="s">
        <v>115</v>
      </c>
      <c r="Q30" s="11" t="s">
        <v>161</v>
      </c>
      <c r="R30" s="17" t="s">
        <v>167</v>
      </c>
    </row>
    <row r="31" spans="1:18" ht="162" x14ac:dyDescent="0.25">
      <c r="A31" s="17">
        <v>30</v>
      </c>
      <c r="B31" s="43" t="s">
        <v>168</v>
      </c>
      <c r="C31" s="29"/>
      <c r="D31" s="21">
        <v>46083</v>
      </c>
      <c r="E31" s="38">
        <f t="shared" ca="1" si="0"/>
        <v>74</v>
      </c>
      <c r="F31" s="17"/>
      <c r="G31" s="17"/>
      <c r="H31" s="17"/>
      <c r="I31" s="17"/>
      <c r="J31" s="17" t="s">
        <v>169</v>
      </c>
      <c r="K31" s="8"/>
      <c r="L31" s="17" t="s">
        <v>170</v>
      </c>
      <c r="M31" s="8" t="s">
        <v>171</v>
      </c>
      <c r="N31" s="25" t="s">
        <v>172</v>
      </c>
      <c r="O31" s="47" t="s">
        <v>173</v>
      </c>
      <c r="P31" s="8" t="s">
        <v>174</v>
      </c>
      <c r="Q31" s="28"/>
      <c r="R31" s="17" t="s">
        <v>175</v>
      </c>
    </row>
    <row r="32" spans="1:18" ht="168.75" customHeight="1" x14ac:dyDescent="0.25">
      <c r="A32" s="31">
        <v>31</v>
      </c>
      <c r="B32" s="43" t="s">
        <v>176</v>
      </c>
      <c r="C32" s="27"/>
      <c r="D32" s="21">
        <v>46085</v>
      </c>
      <c r="E32" s="38">
        <f t="shared" ca="1" si="0"/>
        <v>72</v>
      </c>
      <c r="F32" s="44">
        <v>46140</v>
      </c>
      <c r="G32" s="17"/>
      <c r="H32" s="17"/>
      <c r="I32" s="17"/>
      <c r="J32" s="17" t="s">
        <v>177</v>
      </c>
      <c r="K32" s="15">
        <v>46141</v>
      </c>
      <c r="L32" s="17" t="s">
        <v>21</v>
      </c>
      <c r="M32" s="8" t="s">
        <v>178</v>
      </c>
      <c r="N32" s="17" t="s">
        <v>179</v>
      </c>
      <c r="O32" s="47" t="s">
        <v>180</v>
      </c>
      <c r="P32" s="30" t="s">
        <v>181</v>
      </c>
      <c r="Q32" s="11" t="s">
        <v>182</v>
      </c>
      <c r="R32" s="17"/>
    </row>
    <row r="33" spans="1:18" ht="161.25" customHeight="1" x14ac:dyDescent="0.25">
      <c r="A33" s="17">
        <v>32</v>
      </c>
      <c r="B33" s="43" t="s">
        <v>183</v>
      </c>
      <c r="C33" s="27"/>
      <c r="D33" s="21">
        <v>46085</v>
      </c>
      <c r="E33" s="38">
        <f t="shared" ca="1" si="0"/>
        <v>72</v>
      </c>
      <c r="F33" s="44">
        <v>46140</v>
      </c>
      <c r="G33" s="17"/>
      <c r="H33" s="17"/>
      <c r="I33" s="17"/>
      <c r="J33" s="17" t="s">
        <v>184</v>
      </c>
      <c r="K33" s="15">
        <v>46141</v>
      </c>
      <c r="L33" s="17" t="s">
        <v>21</v>
      </c>
      <c r="M33" s="35" t="s">
        <v>185</v>
      </c>
      <c r="N33" s="17" t="s">
        <v>179</v>
      </c>
      <c r="O33" s="47" t="s">
        <v>186</v>
      </c>
      <c r="P33" s="8" t="s">
        <v>181</v>
      </c>
      <c r="Q33" s="11" t="s">
        <v>187</v>
      </c>
      <c r="R33" s="17"/>
    </row>
    <row r="34" spans="1:18" ht="270" x14ac:dyDescent="0.25">
      <c r="A34" s="39">
        <v>33</v>
      </c>
      <c r="B34" s="8" t="s">
        <v>188</v>
      </c>
      <c r="C34" s="29"/>
      <c r="D34" s="21">
        <v>46093</v>
      </c>
      <c r="E34" s="38">
        <f t="shared" ca="1" si="0"/>
        <v>64</v>
      </c>
      <c r="F34" s="17"/>
      <c r="G34" s="17"/>
      <c r="H34" s="17"/>
      <c r="I34" s="17"/>
      <c r="J34" s="17" t="s">
        <v>189</v>
      </c>
      <c r="K34" s="8"/>
      <c r="L34" s="17" t="s">
        <v>21</v>
      </c>
      <c r="M34" s="8" t="s">
        <v>190</v>
      </c>
      <c r="N34" s="8" t="s">
        <v>191</v>
      </c>
      <c r="O34" s="47" t="s">
        <v>192</v>
      </c>
      <c r="P34" s="8" t="s">
        <v>193</v>
      </c>
      <c r="Q34" s="28"/>
      <c r="R34" s="17"/>
    </row>
    <row r="35" spans="1:18" ht="126" x14ac:dyDescent="0.25">
      <c r="A35" s="8">
        <v>33</v>
      </c>
      <c r="B35" s="8" t="s">
        <v>194</v>
      </c>
      <c r="C35" s="27"/>
      <c r="D35" s="21">
        <v>46094</v>
      </c>
      <c r="E35" s="38"/>
      <c r="F35" s="21">
        <v>46112</v>
      </c>
      <c r="G35" s="17"/>
      <c r="H35" s="17"/>
      <c r="I35" s="17"/>
      <c r="J35" s="17" t="s">
        <v>195</v>
      </c>
      <c r="K35" s="8"/>
      <c r="L35" s="17" t="s">
        <v>196</v>
      </c>
      <c r="M35" s="8" t="s">
        <v>197</v>
      </c>
      <c r="N35" s="12"/>
      <c r="O35" s="47" t="s">
        <v>198</v>
      </c>
      <c r="P35" s="8" t="s">
        <v>199</v>
      </c>
      <c r="Q35" s="11" t="s">
        <v>200</v>
      </c>
      <c r="R35" s="17"/>
    </row>
    <row r="36" spans="1:18" ht="132.75" customHeight="1" x14ac:dyDescent="0.25">
      <c r="A36" s="39">
        <v>34</v>
      </c>
      <c r="B36" s="8" t="s">
        <v>201</v>
      </c>
      <c r="C36" s="29"/>
      <c r="D36" s="21">
        <v>46099</v>
      </c>
      <c r="E36" s="38"/>
      <c r="F36" s="17"/>
      <c r="G36" s="17"/>
      <c r="H36" s="17"/>
      <c r="I36" s="17"/>
      <c r="J36" s="17" t="s">
        <v>202</v>
      </c>
      <c r="K36" s="8"/>
      <c r="L36" s="17" t="s">
        <v>203</v>
      </c>
      <c r="M36" s="8" t="s">
        <v>204</v>
      </c>
      <c r="N36" s="8" t="s">
        <v>205</v>
      </c>
      <c r="O36" s="47" t="s">
        <v>206</v>
      </c>
      <c r="P36" s="8" t="s">
        <v>207</v>
      </c>
      <c r="Q36" s="28"/>
      <c r="R36" s="17"/>
    </row>
    <row r="37" spans="1:18" ht="54" x14ac:dyDescent="0.25">
      <c r="A37" s="8">
        <v>35</v>
      </c>
      <c r="B37" s="8" t="s">
        <v>208</v>
      </c>
      <c r="C37" s="27"/>
      <c r="D37" s="21">
        <v>46108</v>
      </c>
      <c r="E37" s="38"/>
      <c r="F37" s="17"/>
      <c r="G37" s="17"/>
      <c r="H37" s="17"/>
      <c r="I37" s="17"/>
      <c r="J37" s="17"/>
      <c r="K37" s="8"/>
      <c r="L37" s="17" t="s">
        <v>209</v>
      </c>
      <c r="M37" s="8" t="s">
        <v>210</v>
      </c>
      <c r="N37" s="12"/>
      <c r="O37" s="40"/>
      <c r="P37" s="8"/>
      <c r="Q37" s="28"/>
      <c r="R37" s="17"/>
    </row>
    <row r="38" spans="1:18" ht="306" x14ac:dyDescent="0.25">
      <c r="A38" s="39">
        <v>36</v>
      </c>
      <c r="B38" s="8" t="s">
        <v>211</v>
      </c>
      <c r="C38" s="29"/>
      <c r="D38" s="21">
        <v>46148</v>
      </c>
      <c r="F38" s="17"/>
      <c r="G38" s="17"/>
      <c r="H38" s="17"/>
      <c r="I38" s="17"/>
      <c r="J38" s="17"/>
      <c r="K38" s="8"/>
      <c r="L38" s="17" t="s">
        <v>209</v>
      </c>
      <c r="M38" s="46" t="s">
        <v>212</v>
      </c>
      <c r="N38" s="8" t="s">
        <v>213</v>
      </c>
      <c r="O38" s="47" t="s">
        <v>214</v>
      </c>
      <c r="P38" s="8" t="s">
        <v>215</v>
      </c>
      <c r="Q38" s="28"/>
      <c r="R38" s="17" t="s">
        <v>162</v>
      </c>
    </row>
    <row r="39" spans="1:18" ht="90" x14ac:dyDescent="0.25">
      <c r="A39" s="8">
        <v>37</v>
      </c>
      <c r="B39" s="8" t="s">
        <v>156</v>
      </c>
      <c r="C39" s="29"/>
      <c r="D39" s="21">
        <v>46149</v>
      </c>
      <c r="E39" s="38"/>
      <c r="F39" s="17"/>
      <c r="G39" s="17"/>
      <c r="H39" s="17"/>
      <c r="I39" s="17"/>
      <c r="J39" s="17"/>
      <c r="K39" s="8"/>
      <c r="L39" s="17" t="s">
        <v>21</v>
      </c>
      <c r="M39" s="8"/>
      <c r="N39" s="12"/>
      <c r="O39" s="40"/>
      <c r="P39" s="8" t="s">
        <v>216</v>
      </c>
      <c r="Q39" s="28"/>
      <c r="R39" s="17" t="s">
        <v>61</v>
      </c>
    </row>
  </sheetData>
  <hyperlinks>
    <hyperlink ref="O4" r:id="rId1" xr:uid="{30512363-B8A8-4C9C-BD01-74605D5DB29A}"/>
    <hyperlink ref="O2" r:id="rId2" xr:uid="{D7B598E8-51FB-4463-9772-73652D8B1B8D}"/>
    <hyperlink ref="O9" r:id="rId3" xr:uid="{659FAA5F-925B-4879-ABA5-11EA8ACA6B2B}"/>
    <hyperlink ref="O10" r:id="rId4" xr:uid="{4ACB1EE8-8421-4EDE-A624-17F7C08C4E53}"/>
    <hyperlink ref="O14" r:id="rId5" xr:uid="{369BAD63-6930-43A8-9967-0B6E61EDCF8E}"/>
    <hyperlink ref="O13" r:id="rId6" xr:uid="{88D4DB68-C45D-436B-9703-D933C84FE7AD}"/>
    <hyperlink ref="O12" r:id="rId7" xr:uid="{87B6354C-487E-4C0B-AAF7-1AD4C675DA86}"/>
    <hyperlink ref="O15" r:id="rId8" xr:uid="{00D04589-4BDE-4F90-B825-F7EC472ACD7B}"/>
    <hyperlink ref="O3" r:id="rId9" xr:uid="{67E01163-58D8-4F78-B40A-A03174DEBDFA}"/>
    <hyperlink ref="O11" r:id="rId10" xr:uid="{EFDD3640-AF55-4364-A184-84C9DA2EFD3B}"/>
    <hyperlink ref="O16" r:id="rId11" xr:uid="{025AA5EE-69A2-4CF5-8090-EE136865B98A}"/>
    <hyperlink ref="O17" r:id="rId12" xr:uid="{431162C6-C6A0-4134-AC2C-0A30F03DA02D}"/>
    <hyperlink ref="O19" r:id="rId13" xr:uid="{A2B98347-CBEE-4E35-90C1-F1C4CFAB5557}"/>
    <hyperlink ref="O20" r:id="rId14" xr:uid="{9C40A060-32AB-4941-8360-53E10354D96B}"/>
    <hyperlink ref="O21" r:id="rId15" xr:uid="{3B96EC12-FDFB-4AD8-BDC1-DC957695D0B1}"/>
    <hyperlink ref="O22" r:id="rId16" xr:uid="{5C18B41B-66C7-416B-BAB7-F6C817AA1569}"/>
    <hyperlink ref="O18" r:id="rId17" xr:uid="{274FC1CC-1646-41B2-BFEA-2B7B815F40B4}"/>
    <hyperlink ref="P21" r:id="rId18" xr:uid="{B5792F3D-34E9-43D0-AF4D-43CBDBC3443F}"/>
    <hyperlink ref="O7" r:id="rId19" xr:uid="{DA073765-BC61-4CD0-BA51-65395C6EFD78}"/>
    <hyperlink ref="O5" r:id="rId20" xr:uid="{42E50C16-372D-44BD-B129-E76DAE3440FF}"/>
    <hyperlink ref="O23" r:id="rId21" xr:uid="{65A37A7E-76FE-4245-9B05-4A561382CF9F}"/>
    <hyperlink ref="O24" r:id="rId22" xr:uid="{81685896-866C-4C8E-9F6B-24449AE7D433}"/>
    <hyperlink ref="O25" r:id="rId23" xr:uid="{6A9A1172-4AFE-47B8-9321-0123E26ADB2C}"/>
    <hyperlink ref="O26" r:id="rId24" xr:uid="{AA94E007-07D5-4CD1-98A4-27B9C46A84F7}"/>
    <hyperlink ref="O28" r:id="rId25" xr:uid="{85DF19B2-6BF4-46DB-9F80-9ED680787C9F}"/>
    <hyperlink ref="O29" r:id="rId26" xr:uid="{CA0B9005-5B2A-4F2B-874C-D4398EDC3614}"/>
    <hyperlink ref="O31" r:id="rId27" xr:uid="{98CCBDFF-8FD4-42C2-B3C4-6DED8D75769C}"/>
    <hyperlink ref="O33" r:id="rId28" xr:uid="{ACF64FCA-DEFE-43C6-AAC3-116ACED459AD}"/>
    <hyperlink ref="O32" r:id="rId29" xr:uid="{6F624801-1FD3-4DE1-BD8D-812AF74F3527}"/>
    <hyperlink ref="O30" r:id="rId30" xr:uid="{E5FB8261-B0FD-4215-A8DF-460BA5AAED3E}"/>
    <hyperlink ref="O34" r:id="rId31" xr:uid="{7B30F916-EC1C-4FBF-869E-DF1F0A008A72}"/>
    <hyperlink ref="O36" r:id="rId32" xr:uid="{6309625A-B576-49F5-BC0A-830FFBB1E93C}"/>
    <hyperlink ref="O35" r:id="rId33" xr:uid="{16DAFE57-97BE-4FB4-AC7B-E3E30C81A198}"/>
    <hyperlink ref="O38" r:id="rId34" display="2026:Energía Solar Herrera" xr:uid="{76158E9A-E4BD-4BD8-9BCD-A8DEBB66B82E}"/>
  </hyperlinks>
  <printOptions horizontalCentered="1" headings="1"/>
  <pageMargins left="0.7" right="0.7" top="0.75" bottom="0.75" header="0.3" footer="0.3"/>
  <pageSetup fitToWidth="0" fitToHeight="0" orientation="landscape" horizontalDpi="4294967295" verticalDpi="4294967295" r:id="rId35"/>
  <tableParts count="1">
    <tablePart r:id="rId3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6DE25C868DAEB42A6EAC87347AE4B21" ma:contentTypeVersion="13" ma:contentTypeDescription="Crear nuevo documento." ma:contentTypeScope="" ma:versionID="d5fbd51eecd8c561488c669997954764">
  <xsd:schema xmlns:xsd="http://www.w3.org/2001/XMLSchema" xmlns:xs="http://www.w3.org/2001/XMLSchema" xmlns:p="http://schemas.microsoft.com/office/2006/metadata/properties" xmlns:ns2="a4c3d179-9de3-4e9b-8745-2ffa744842fa" xmlns:ns3="8e0d9322-d380-4179-8640-7a188adc723c" targetNamespace="http://schemas.microsoft.com/office/2006/metadata/properties" ma:root="true" ma:fieldsID="74eeb2b1cf1f71ac5ee6a8bed2f47e8b" ns2:_="" ns3:_="">
    <xsd:import namespace="a4c3d179-9de3-4e9b-8745-2ffa744842fa"/>
    <xsd:import namespace="8e0d9322-d380-4179-8640-7a188adc723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3d179-9de3-4e9b-8745-2ffa744842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764738b5-171d-4523-9a7f-04b25a28d81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0d9322-d380-4179-8640-7a188adc723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447b085-d89c-403c-991d-ee92291d700c}" ma:internalName="TaxCatchAll" ma:showField="CatchAllData" ma:web="8e0d9322-d380-4179-8640-7a188adc72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4c3d179-9de3-4e9b-8745-2ffa744842fa">
      <Terms xmlns="http://schemas.microsoft.com/office/infopath/2007/PartnerControls"/>
    </lcf76f155ced4ddcb4097134ff3c332f>
    <TaxCatchAll xmlns="8e0d9322-d380-4179-8640-7a188adc723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46B31F-A950-41A1-9BE1-6977176A4E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c3d179-9de3-4e9b-8745-2ffa744842fa"/>
    <ds:schemaRef ds:uri="8e0d9322-d380-4179-8640-7a188adc72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2DA4EE-58CE-4BFE-B987-B1C7F531F70D}">
  <ds:schemaRefs>
    <ds:schemaRef ds:uri="http://schemas.microsoft.com/office/2006/metadata/properties"/>
    <ds:schemaRef ds:uri="http://schemas.microsoft.com/office/infopath/2007/PartnerControls"/>
    <ds:schemaRef ds:uri="a4c3d179-9de3-4e9b-8745-2ffa744842fa"/>
    <ds:schemaRef ds:uri="8e0d9322-d380-4179-8640-7a188adc723c"/>
  </ds:schemaRefs>
</ds:datastoreItem>
</file>

<file path=customXml/itemProps3.xml><?xml version="1.0" encoding="utf-8"?>
<ds:datastoreItem xmlns:ds="http://schemas.openxmlformats.org/officeDocument/2006/customXml" ds:itemID="{D60A7097-172A-43DB-B847-DF7283FB90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ASUNTOS MÓNICA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2021-01-04T10:09:23Z</dcterms:created>
  <dcterms:modified xsi:type="dcterms:W3CDTF">2026-05-15T18:38:02Z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0x010100F6DE25C868DAEB42A6EAC87347AE4B21</vt:lpwstr>
  </property>
  <property fmtid="{D5CDD505-2E9C-101B-9397-08002B2CF9AE}" pid="3" name="MediaServiceImageTags">
    <vt:lpwstr/>
  </property>
</Properties>
</file>